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Excel Practice project/"/>
    </mc:Choice>
  </mc:AlternateContent>
  <xr:revisionPtr revIDLastSave="36" documentId="8_{E8AC7C7D-921A-41A8-A4A4-380D68E47CDC}" xr6:coauthVersionLast="47" xr6:coauthVersionMax="47" xr10:uidLastSave="{6892E5B4-A337-401C-9CE5-9ECC10C13771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  <sheet name="Sheet3" sheetId="4" r:id="rId3"/>
    <sheet name="Sheet2" sheetId="3" r:id="rId4"/>
  </sheets>
  <definedNames>
    <definedName name="_xlnm._FilterDatabase" localSheetId="2" hidden="1">Sheet3!$B$2:$B$23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4" l="1"/>
  <c r="O13" i="4"/>
  <c r="O7" i="4"/>
  <c r="O25" i="4" s="1"/>
  <c r="F15" i="4"/>
  <c r="I10" i="4"/>
  <c r="I11" i="4"/>
  <c r="I12" i="4"/>
  <c r="H11" i="4"/>
  <c r="H12" i="4"/>
  <c r="H10" i="4"/>
  <c r="I2" i="4"/>
  <c r="I3" i="4"/>
  <c r="I4" i="4"/>
  <c r="H3" i="4"/>
  <c r="H4" i="4"/>
  <c r="H2" i="4"/>
  <c r="J4" i="3"/>
  <c r="J3" i="3"/>
  <c r="J8" i="3"/>
  <c r="J7" i="3"/>
  <c r="M19" i="2"/>
  <c r="M20" i="2"/>
  <c r="M21" i="2"/>
  <c r="L20" i="2"/>
  <c r="L21" i="2"/>
  <c r="L19" i="2"/>
  <c r="H20" i="2"/>
  <c r="H21" i="2"/>
  <c r="H19" i="2"/>
  <c r="I8" i="2"/>
  <c r="I9" i="2"/>
  <c r="I10" i="2"/>
  <c r="H9" i="2"/>
  <c r="H10" i="2"/>
  <c r="H8" i="2"/>
  <c r="H2" i="2"/>
  <c r="I2" i="2"/>
  <c r="H3" i="2"/>
  <c r="I3" i="2"/>
  <c r="H4" i="2"/>
  <c r="I4" i="2"/>
  <c r="F3" i="1"/>
  <c r="F4" i="1"/>
  <c r="F5" i="1"/>
  <c r="F6" i="1"/>
  <c r="F2" i="1"/>
</calcChain>
</file>

<file path=xl/sharedStrings.xml><?xml version="1.0" encoding="utf-8"?>
<sst xmlns="http://schemas.openxmlformats.org/spreadsheetml/2006/main" count="312" uniqueCount="72">
  <si>
    <t>Employee Code</t>
  </si>
  <si>
    <t>Designation</t>
  </si>
  <si>
    <t>Salary</t>
  </si>
  <si>
    <t>EMP1001</t>
  </si>
  <si>
    <t>Data Entry</t>
  </si>
  <si>
    <t>EMP1002</t>
  </si>
  <si>
    <t>MIS Exec</t>
  </si>
  <si>
    <t>EMP1003</t>
  </si>
  <si>
    <t>Accountant</t>
  </si>
  <si>
    <t>EMP1004</t>
  </si>
  <si>
    <t>HR</t>
  </si>
  <si>
    <t>EMP1005</t>
  </si>
  <si>
    <t>Sales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</si>
  <si>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</si>
  <si>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</si>
  <si>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</si>
  <si>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</si>
  <si>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</si>
  <si>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</si>
  <si>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</si>
  <si>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</si>
  <si>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</si>
  <si>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</si>
  <si>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</si>
  <si>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</si>
  <si>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</si>
  <si>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</si>
  <si>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</si>
  <si>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Sum &amp; Sumifs</t>
  </si>
  <si>
    <t>Date</t>
  </si>
  <si>
    <t>Transaction Type</t>
  </si>
  <si>
    <t>Debit/Credit</t>
  </si>
  <si>
    <t>Amount</t>
  </si>
  <si>
    <t>01-07-2026</t>
  </si>
  <si>
    <t>Debit</t>
  </si>
  <si>
    <t>02-07-2026</t>
  </si>
  <si>
    <t>Credit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</si>
  <si>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</si>
  <si>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</si>
  <si>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</si>
  <si>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</si>
  <si>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</si>
  <si>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</si>
  <si>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</si>
  <si>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</si>
  <si>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</si>
  <si>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</si>
  <si>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</si>
  <si>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</si>
  <si>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</si>
  <si>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</si>
  <si>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</si>
  <si>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</si>
  <si>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</si>
  <si>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</si>
  <si>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Total</t>
  </si>
  <si>
    <t>Online</t>
  </si>
  <si>
    <t>Cash</t>
  </si>
  <si>
    <t>Debit Card</t>
  </si>
  <si>
    <t>Countif &amp; Countifs Formulas</t>
  </si>
  <si>
    <t>Sumif &amp; Sumifs Formulas</t>
  </si>
  <si>
    <t>M</t>
  </si>
  <si>
    <t>F</t>
  </si>
  <si>
    <t>MALE</t>
  </si>
  <si>
    <t>FEMALE</t>
  </si>
  <si>
    <t>BOOKED</t>
  </si>
  <si>
    <t>PENDING</t>
  </si>
  <si>
    <t>Cash Total</t>
  </si>
  <si>
    <t>Debit Card Total</t>
  </si>
  <si>
    <t>Online Total</t>
  </si>
  <si>
    <t>Grand 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</si>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</sst>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17" sqref="E17"/>
    </sheetView>
  </sheetViews>
  <sheetFormatPr defaultRowHeight="14.4" x14ac:dyDescent="0.3"/>
  <cols>
    <col min="1" max="1" width="13.77734375" bestFit="1" customWidth="1"/>
    <col min="2" max="2" width="10.5546875" bestFit="1" customWidth="1"/>
    <col min="3" max="3" width="6" bestFit="1" customWidth="1"/>
    <col min="5" max="5" width="13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</row>
    <row r="2" spans="1:13" x14ac:dyDescent="0.3">
      <c r="A2" t="s">
        <v>3</v>
      </c>
      <c r="B2" t="s">
        <v>4</v>
      </c>
      <c r="C2">
        <v>25750</v>
      </c>
      <c r="E2" s="1" t="s">
        <v>4</v>
      </c>
      <c r="F2">
        <f>SUMIF($B$2:$B$21,E2,$C$2:$C$21)</f>
        <v>125500</v>
      </c>
    </row>
    <row r="3" spans="1:13" x14ac:dyDescent="0.3">
      <c r="A3" t="s">
        <v>5</v>
      </c>
      <c r="B3" t="s">
        <v>6</v>
      </c>
      <c r="C3">
        <v>26500</v>
      </c>
      <c r="E3" s="1" t="s">
        <v>6</v>
      </c>
      <c r="F3">
        <f t="shared" ref="F3:F6" si="0">SUMIF($B$2:$B$21,E3,$C$2:$C$21)</f>
        <v>128500</v>
      </c>
    </row>
    <row r="4" spans="1:13" x14ac:dyDescent="0.3">
      <c r="A4" t="s">
        <v>7</v>
      </c>
      <c r="B4" t="s">
        <v>8</v>
      </c>
      <c r="C4">
        <v>27250</v>
      </c>
      <c r="E4" s="1" t="s">
        <v>8</v>
      </c>
      <c r="F4">
        <f t="shared" si="0"/>
        <v>131500</v>
      </c>
    </row>
    <row r="5" spans="1:13" x14ac:dyDescent="0.3">
      <c r="A5" t="s">
        <v>9</v>
      </c>
      <c r="B5" t="s">
        <v>10</v>
      </c>
      <c r="C5">
        <v>28000</v>
      </c>
      <c r="E5" s="1" t="s">
        <v>10</v>
      </c>
      <c r="F5">
        <f t="shared" si="0"/>
        <v>134500</v>
      </c>
    </row>
    <row r="6" spans="1:13" x14ac:dyDescent="0.3">
      <c r="A6" t="s">
        <v>11</v>
      </c>
      <c r="B6" t="s">
        <v>12</v>
      </c>
      <c r="C6">
        <v>28750</v>
      </c>
      <c r="E6" s="1" t="s">
        <v>12</v>
      </c>
      <c r="F6">
        <f t="shared" si="0"/>
        <v>137500</v>
      </c>
    </row>
    <row r="7" spans="1:13" x14ac:dyDescent="0.3">
      <c r="A7" t="s">
        <v>13</v>
      </c>
      <c r="B7" t="s">
        <v>4</v>
      </c>
      <c r="C7">
        <v>29500</v>
      </c>
      <c r="I7" s="2" t="s">
        <v>28</v>
      </c>
      <c r="J7" s="3"/>
      <c r="K7" s="3"/>
      <c r="L7" s="3"/>
      <c r="M7" s="3"/>
    </row>
    <row r="8" spans="1:13" x14ac:dyDescent="0.3">
      <c r="A8" t="s">
        <v>14</v>
      </c>
      <c r="B8" t="s">
        <v>6</v>
      </c>
      <c r="C8">
        <v>30250</v>
      </c>
      <c r="I8" s="3"/>
      <c r="J8" s="3"/>
      <c r="K8" s="3"/>
      <c r="L8" s="3"/>
      <c r="M8" s="3"/>
    </row>
    <row r="9" spans="1:13" x14ac:dyDescent="0.3">
      <c r="A9" t="s">
        <v>15</v>
      </c>
      <c r="B9" t="s">
        <v>8</v>
      </c>
      <c r="C9">
        <v>31000</v>
      </c>
      <c r="I9" s="3"/>
      <c r="J9" s="3"/>
      <c r="K9" s="3"/>
      <c r="L9" s="3"/>
      <c r="M9" s="3"/>
    </row>
    <row r="10" spans="1:13" x14ac:dyDescent="0.3">
      <c r="A10" t="s">
        <v>16</v>
      </c>
      <c r="B10" t="s">
        <v>10</v>
      </c>
      <c r="C10">
        <v>31750</v>
      </c>
    </row>
    <row r="11" spans="1:13" x14ac:dyDescent="0.3">
      <c r="A11" t="s">
        <v>17</v>
      </c>
      <c r="B11" t="s">
        <v>12</v>
      </c>
      <c r="C11">
        <v>32500</v>
      </c>
    </row>
    <row r="12" spans="1:13" x14ac:dyDescent="0.3">
      <c r="A12" t="s">
        <v>18</v>
      </c>
      <c r="B12" t="s">
        <v>4</v>
      </c>
      <c r="C12">
        <v>33250</v>
      </c>
    </row>
    <row r="13" spans="1:13" x14ac:dyDescent="0.3">
      <c r="A13" t="s">
        <v>19</v>
      </c>
      <c r="B13" t="s">
        <v>6</v>
      </c>
      <c r="C13">
        <v>34000</v>
      </c>
    </row>
    <row r="14" spans="1:13" x14ac:dyDescent="0.3">
      <c r="A14" t="s">
        <v>20</v>
      </c>
      <c r="B14" t="s">
        <v>8</v>
      </c>
      <c r="C14">
        <v>34750</v>
      </c>
    </row>
    <row r="15" spans="1:13" x14ac:dyDescent="0.3">
      <c r="A15" t="s">
        <v>21</v>
      </c>
      <c r="B15" t="s">
        <v>10</v>
      </c>
      <c r="C15">
        <v>35500</v>
      </c>
    </row>
    <row r="16" spans="1:13" x14ac:dyDescent="0.3">
      <c r="A16" t="s">
        <v>22</v>
      </c>
      <c r="B16" t="s">
        <v>12</v>
      </c>
      <c r="C16">
        <v>36250</v>
      </c>
    </row>
    <row r="17" spans="1:3" x14ac:dyDescent="0.3">
      <c r="A17" t="s">
        <v>23</v>
      </c>
      <c r="B17" t="s">
        <v>4</v>
      </c>
      <c r="C17">
        <v>37000</v>
      </c>
    </row>
    <row r="18" spans="1:3" x14ac:dyDescent="0.3">
      <c r="A18" t="s">
        <v>24</v>
      </c>
      <c r="B18" t="s">
        <v>6</v>
      </c>
      <c r="C18">
        <v>37750</v>
      </c>
    </row>
    <row r="19" spans="1:3" x14ac:dyDescent="0.3">
      <c r="A19" t="s">
        <v>25</v>
      </c>
      <c r="B19" t="s">
        <v>8</v>
      </c>
      <c r="C19">
        <v>38500</v>
      </c>
    </row>
    <row r="20" spans="1:3" x14ac:dyDescent="0.3">
      <c r="A20" t="s">
        <v>26</v>
      </c>
      <c r="B20" t="s">
        <v>10</v>
      </c>
      <c r="C20">
        <v>39250</v>
      </c>
    </row>
    <row r="21" spans="1:3" x14ac:dyDescent="0.3">
      <c r="A21" t="s">
        <v>27</v>
      </c>
      <c r="B21" t="s">
        <v>12</v>
      </c>
      <c r="C21">
        <v>40000</v>
      </c>
    </row>
  </sheetData>
  <mergeCells count="1">
    <mergeCell ref="I7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F04E-8BAF-46FA-9473-12C925A623CC}">
  <dimension ref="A1:N21"/>
  <sheetViews>
    <sheetView workbookViewId="0">
      <selection activeCell="F7" sqref="F7:I11"/>
    </sheetView>
  </sheetViews>
  <sheetFormatPr defaultRowHeight="14.4" x14ac:dyDescent="0.3"/>
  <cols>
    <col min="1" max="1" width="10.33203125" bestFit="1" customWidth="1"/>
    <col min="2" max="2" width="17.6640625" bestFit="1" customWidth="1"/>
    <col min="3" max="3" width="11" bestFit="1" customWidth="1"/>
    <col min="4" max="4" width="7.44140625" bestFit="1" customWidth="1"/>
    <col min="6" max="6" width="11.77734375" customWidth="1"/>
    <col min="7" max="7" width="10.88671875" customWidth="1"/>
    <col min="9" max="9" width="12" customWidth="1"/>
  </cols>
  <sheetData>
    <row r="1" spans="1:14" x14ac:dyDescent="0.3">
      <c r="A1" s="1" t="s">
        <v>29</v>
      </c>
      <c r="B1" s="1" t="s">
        <v>30</v>
      </c>
      <c r="C1" s="1" t="s">
        <v>31</v>
      </c>
      <c r="D1" s="1" t="s">
        <v>32</v>
      </c>
      <c r="F1" s="1"/>
      <c r="G1" s="1" t="s">
        <v>55</v>
      </c>
      <c r="H1" s="1" t="s">
        <v>34</v>
      </c>
      <c r="I1" s="1" t="s">
        <v>36</v>
      </c>
    </row>
    <row r="2" spans="1:14" ht="18" customHeight="1" x14ac:dyDescent="0.3">
      <c r="A2" t="s">
        <v>33</v>
      </c>
      <c r="B2" t="s">
        <v>56</v>
      </c>
      <c r="C2" t="s">
        <v>34</v>
      </c>
      <c r="D2">
        <v>15000</v>
      </c>
      <c r="F2" s="1"/>
      <c r="G2" s="1" t="s">
        <v>56</v>
      </c>
      <c r="H2">
        <f>SUMIFS($D$2:$D$21,$B$2:$B$21,$G2,$C$2:$C$21,H$1)</f>
        <v>83500</v>
      </c>
      <c r="I2">
        <f>SUMIFS($D$2:$D$21,$B$2:$B$21,$G2,$C$2:$C$21,I$1)</f>
        <v>0</v>
      </c>
      <c r="K2" s="5" t="s">
        <v>60</v>
      </c>
      <c r="L2" s="5"/>
      <c r="M2" s="5"/>
      <c r="N2" s="5"/>
    </row>
    <row r="3" spans="1:14" ht="18" customHeight="1" x14ac:dyDescent="0.3">
      <c r="A3" t="s">
        <v>35</v>
      </c>
      <c r="B3" t="s">
        <v>57</v>
      </c>
      <c r="C3" t="s">
        <v>36</v>
      </c>
      <c r="D3">
        <v>8000</v>
      </c>
      <c r="F3" s="1"/>
      <c r="G3" s="1" t="s">
        <v>57</v>
      </c>
      <c r="H3">
        <f t="shared" ref="H3:I4" si="0">SUMIFS($D$2:$D$21,$B$2:$B$21,$G3,$C$2:$C$21,H$1)</f>
        <v>0</v>
      </c>
      <c r="I3">
        <f t="shared" si="0"/>
        <v>91100</v>
      </c>
      <c r="K3" s="5"/>
      <c r="L3" s="5"/>
      <c r="M3" s="5"/>
      <c r="N3" s="5"/>
    </row>
    <row r="4" spans="1:14" ht="18" customHeight="1" x14ac:dyDescent="0.3">
      <c r="A4" t="s">
        <v>37</v>
      </c>
      <c r="B4" t="s">
        <v>56</v>
      </c>
      <c r="C4" t="s">
        <v>34</v>
      </c>
      <c r="D4">
        <v>12000</v>
      </c>
      <c r="F4" s="1"/>
      <c r="G4" s="1" t="s">
        <v>58</v>
      </c>
      <c r="H4">
        <f t="shared" si="0"/>
        <v>0</v>
      </c>
      <c r="I4">
        <f t="shared" si="0"/>
        <v>20650</v>
      </c>
      <c r="K4" s="5"/>
      <c r="L4" s="5"/>
      <c r="M4" s="5"/>
      <c r="N4" s="5"/>
    </row>
    <row r="5" spans="1:14" x14ac:dyDescent="0.3">
      <c r="A5" t="s">
        <v>38</v>
      </c>
      <c r="B5" t="s">
        <v>58</v>
      </c>
      <c r="C5" t="s">
        <v>36</v>
      </c>
      <c r="D5">
        <v>2500</v>
      </c>
      <c r="G5" s="1"/>
      <c r="K5" s="1"/>
      <c r="L5" s="1"/>
      <c r="M5" s="1"/>
    </row>
    <row r="6" spans="1:14" x14ac:dyDescent="0.3">
      <c r="A6" t="s">
        <v>39</v>
      </c>
      <c r="B6" t="s">
        <v>56</v>
      </c>
      <c r="C6" t="s">
        <v>34</v>
      </c>
      <c r="D6">
        <v>7000</v>
      </c>
      <c r="K6" s="1"/>
    </row>
    <row r="7" spans="1:14" x14ac:dyDescent="0.3">
      <c r="A7" t="s">
        <v>40</v>
      </c>
      <c r="B7" t="s">
        <v>57</v>
      </c>
      <c r="C7" t="s">
        <v>36</v>
      </c>
      <c r="D7">
        <v>18000</v>
      </c>
      <c r="G7" s="1" t="s">
        <v>55</v>
      </c>
      <c r="H7" s="1" t="s">
        <v>34</v>
      </c>
      <c r="I7" s="1" t="s">
        <v>36</v>
      </c>
      <c r="K7" s="1"/>
    </row>
    <row r="8" spans="1:14" x14ac:dyDescent="0.3">
      <c r="A8" t="s">
        <v>41</v>
      </c>
      <c r="B8" t="s">
        <v>56</v>
      </c>
      <c r="C8" t="s">
        <v>34</v>
      </c>
      <c r="D8">
        <v>9500</v>
      </c>
      <c r="G8" s="1" t="s">
        <v>56</v>
      </c>
      <c r="H8">
        <f>COUNTIF($B$2:$B$21,G8)</f>
        <v>10</v>
      </c>
      <c r="I8">
        <f>COUNTIF($B$2:$B$21,H8)</f>
        <v>0</v>
      </c>
      <c r="K8" s="1"/>
    </row>
    <row r="9" spans="1:14" x14ac:dyDescent="0.3">
      <c r="A9" t="s">
        <v>42</v>
      </c>
      <c r="B9" t="s">
        <v>58</v>
      </c>
      <c r="C9" t="s">
        <v>36</v>
      </c>
      <c r="D9">
        <v>1200</v>
      </c>
      <c r="G9" s="1" t="s">
        <v>57</v>
      </c>
      <c r="H9">
        <f t="shared" ref="H9:I10" si="1">COUNTIF($B$2:$B$21,G9)</f>
        <v>5</v>
      </c>
      <c r="I9">
        <f t="shared" si="1"/>
        <v>0</v>
      </c>
    </row>
    <row r="10" spans="1:14" x14ac:dyDescent="0.3">
      <c r="A10" t="s">
        <v>43</v>
      </c>
      <c r="B10" t="s">
        <v>56</v>
      </c>
      <c r="C10" t="s">
        <v>34</v>
      </c>
      <c r="D10">
        <v>900</v>
      </c>
      <c r="G10" s="1" t="s">
        <v>58</v>
      </c>
      <c r="H10">
        <f t="shared" si="1"/>
        <v>5</v>
      </c>
      <c r="I10">
        <f t="shared" si="1"/>
        <v>0</v>
      </c>
    </row>
    <row r="11" spans="1:14" x14ac:dyDescent="0.3">
      <c r="A11" t="s">
        <v>44</v>
      </c>
      <c r="B11" t="s">
        <v>57</v>
      </c>
      <c r="C11" t="s">
        <v>36</v>
      </c>
      <c r="D11">
        <v>50000</v>
      </c>
    </row>
    <row r="12" spans="1:14" x14ac:dyDescent="0.3">
      <c r="A12" t="s">
        <v>45</v>
      </c>
      <c r="B12" t="s">
        <v>56</v>
      </c>
      <c r="C12" t="s">
        <v>34</v>
      </c>
      <c r="D12">
        <v>3000</v>
      </c>
    </row>
    <row r="13" spans="1:14" x14ac:dyDescent="0.3">
      <c r="A13" t="s">
        <v>46</v>
      </c>
      <c r="B13" t="s">
        <v>58</v>
      </c>
      <c r="C13" t="s">
        <v>36</v>
      </c>
      <c r="D13">
        <v>2200</v>
      </c>
    </row>
    <row r="14" spans="1:14" x14ac:dyDescent="0.3">
      <c r="A14" t="s">
        <v>47</v>
      </c>
      <c r="B14" t="s">
        <v>56</v>
      </c>
      <c r="C14" t="s">
        <v>34</v>
      </c>
      <c r="D14">
        <v>27000</v>
      </c>
    </row>
    <row r="15" spans="1:14" x14ac:dyDescent="0.3">
      <c r="A15" t="s">
        <v>48</v>
      </c>
      <c r="B15" t="s">
        <v>57</v>
      </c>
      <c r="C15" t="s">
        <v>36</v>
      </c>
      <c r="D15">
        <v>11000</v>
      </c>
      <c r="G15" s="4" t="s">
        <v>59</v>
      </c>
      <c r="H15" s="4"/>
      <c r="I15" s="4"/>
      <c r="J15" s="4"/>
    </row>
    <row r="16" spans="1:14" x14ac:dyDescent="0.3">
      <c r="A16" t="s">
        <v>49</v>
      </c>
      <c r="B16" t="s">
        <v>56</v>
      </c>
      <c r="C16" t="s">
        <v>34</v>
      </c>
      <c r="D16">
        <v>5000</v>
      </c>
      <c r="G16" s="4"/>
      <c r="H16" s="4"/>
      <c r="I16" s="4"/>
      <c r="J16" s="4"/>
    </row>
    <row r="17" spans="1:13" x14ac:dyDescent="0.3">
      <c r="A17" t="s">
        <v>50</v>
      </c>
      <c r="B17" t="s">
        <v>58</v>
      </c>
      <c r="C17" t="s">
        <v>36</v>
      </c>
      <c r="D17">
        <v>14000</v>
      </c>
      <c r="G17" s="4"/>
      <c r="H17" s="4"/>
      <c r="I17" s="4"/>
      <c r="J17" s="4"/>
    </row>
    <row r="18" spans="1:13" x14ac:dyDescent="0.3">
      <c r="A18" t="s">
        <v>51</v>
      </c>
      <c r="B18" t="s">
        <v>56</v>
      </c>
      <c r="C18" t="s">
        <v>34</v>
      </c>
      <c r="D18">
        <v>2600</v>
      </c>
      <c r="G18" s="1" t="s">
        <v>55</v>
      </c>
      <c r="H18" s="1" t="s">
        <v>34</v>
      </c>
      <c r="I18" s="1" t="s">
        <v>36</v>
      </c>
      <c r="K18" s="1" t="s">
        <v>55</v>
      </c>
      <c r="L18" s="1" t="s">
        <v>34</v>
      </c>
      <c r="M18" s="1" t="s">
        <v>36</v>
      </c>
    </row>
    <row r="19" spans="1:13" x14ac:dyDescent="0.3">
      <c r="A19" t="s">
        <v>52</v>
      </c>
      <c r="B19" t="s">
        <v>57</v>
      </c>
      <c r="C19" t="s">
        <v>36</v>
      </c>
      <c r="D19">
        <v>4100</v>
      </c>
      <c r="G19" s="1" t="s">
        <v>56</v>
      </c>
      <c r="H19">
        <f>COUNTIFS(B2:B21,G19,C2:C21,H18)</f>
        <v>10</v>
      </c>
      <c r="K19" s="1" t="s">
        <v>56</v>
      </c>
      <c r="L19">
        <f>COUNTIFS($B$2:$B$21,$K19,$C$2:$C$21,L$18)</f>
        <v>10</v>
      </c>
      <c r="M19">
        <f>COUNTIFS($B$2:$B$21,$K19,$C$2:$C$21,M$18)</f>
        <v>0</v>
      </c>
    </row>
    <row r="20" spans="1:13" x14ac:dyDescent="0.3">
      <c r="A20" t="s">
        <v>53</v>
      </c>
      <c r="B20" t="s">
        <v>56</v>
      </c>
      <c r="C20" t="s">
        <v>34</v>
      </c>
      <c r="D20">
        <v>1500</v>
      </c>
      <c r="G20" s="1" t="s">
        <v>57</v>
      </c>
      <c r="H20">
        <f t="shared" ref="H20:H21" si="2">COUNTIFS(B3:B22,G20,C3:C22,H19)</f>
        <v>0</v>
      </c>
      <c r="K20" s="1" t="s">
        <v>57</v>
      </c>
      <c r="L20">
        <f t="shared" ref="L20:M21" si="3">COUNTIFS($B$2:$B$21,$K20,$C$2:$C$21,L$18)</f>
        <v>0</v>
      </c>
      <c r="M20">
        <f t="shared" si="3"/>
        <v>5</v>
      </c>
    </row>
    <row r="21" spans="1:13" x14ac:dyDescent="0.3">
      <c r="A21" t="s">
        <v>54</v>
      </c>
      <c r="B21" t="s">
        <v>58</v>
      </c>
      <c r="C21" t="s">
        <v>36</v>
      </c>
      <c r="D21">
        <v>750</v>
      </c>
      <c r="G21" s="1" t="s">
        <v>58</v>
      </c>
      <c r="H21">
        <f t="shared" si="2"/>
        <v>0</v>
      </c>
      <c r="K21" s="1" t="s">
        <v>58</v>
      </c>
      <c r="L21">
        <f t="shared" si="3"/>
        <v>0</v>
      </c>
      <c r="M21">
        <f t="shared" si="3"/>
        <v>5</v>
      </c>
    </row>
  </sheetData>
  <mergeCells count="2">
    <mergeCell ref="G15:J17"/>
    <mergeCell ref="K2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77B1-11DE-4E26-867B-BC26BA39C847}">
  <dimension ref="A1:O25"/>
  <sheetViews>
    <sheetView workbookViewId="0">
      <selection activeCell="S6" sqref="S6"/>
    </sheetView>
  </sheetViews>
  <sheetFormatPr defaultRowHeight="14.4" outlineLevelRow="2" x14ac:dyDescent="0.3"/>
  <cols>
    <col min="1" max="1" width="10.33203125" bestFit="1" customWidth="1"/>
    <col min="2" max="2" width="15.44140625" bestFit="1" customWidth="1"/>
    <col min="3" max="3" width="11.33203125" bestFit="1" customWidth="1"/>
    <col min="4" max="4" width="7.88671875" bestFit="1" customWidth="1"/>
    <col min="7" max="7" width="9.77734375" bestFit="1" customWidth="1"/>
    <col min="8" max="8" width="7.33203125" bestFit="1" customWidth="1"/>
    <col min="12" max="12" width="10.33203125" bestFit="1" customWidth="1"/>
    <col min="13" max="13" width="15.44140625" bestFit="1" customWidth="1"/>
    <col min="14" max="14" width="11.33203125" bestFit="1" customWidth="1"/>
    <col min="15" max="15" width="7.88671875" bestFit="1" customWidth="1"/>
  </cols>
  <sheetData>
    <row r="1" spans="1:15" x14ac:dyDescent="0.3">
      <c r="A1" s="1" t="s">
        <v>29</v>
      </c>
      <c r="B1" s="1" t="s">
        <v>30</v>
      </c>
      <c r="C1" s="1" t="s">
        <v>31</v>
      </c>
      <c r="D1" s="1" t="s">
        <v>32</v>
      </c>
      <c r="G1" s="1" t="s">
        <v>55</v>
      </c>
      <c r="H1" s="1" t="s">
        <v>34</v>
      </c>
      <c r="I1" s="1" t="s">
        <v>36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outlineLevel="2" x14ac:dyDescent="0.3">
      <c r="A2" t="s">
        <v>35</v>
      </c>
      <c r="B2" t="s">
        <v>57</v>
      </c>
      <c r="C2" t="s">
        <v>36</v>
      </c>
      <c r="D2">
        <v>8000</v>
      </c>
      <c r="G2" s="1" t="s">
        <v>56</v>
      </c>
      <c r="H2">
        <f t="shared" ref="H2:I4" si="0">AVERAGEIF($B$2:$B$23,$G2,$D$2:$D$23)</f>
        <v>8350</v>
      </c>
      <c r="I2">
        <f t="shared" si="0"/>
        <v>8350</v>
      </c>
      <c r="L2" t="s">
        <v>35</v>
      </c>
      <c r="M2" t="s">
        <v>57</v>
      </c>
      <c r="N2" t="s">
        <v>36</v>
      </c>
      <c r="O2">
        <v>8000</v>
      </c>
    </row>
    <row r="3" spans="1:15" outlineLevel="2" x14ac:dyDescent="0.3">
      <c r="A3" t="s">
        <v>40</v>
      </c>
      <c r="B3" t="s">
        <v>57</v>
      </c>
      <c r="C3" t="s">
        <v>36</v>
      </c>
      <c r="D3">
        <v>18000</v>
      </c>
      <c r="G3" s="1" t="s">
        <v>57</v>
      </c>
      <c r="H3">
        <f t="shared" si="0"/>
        <v>18220</v>
      </c>
      <c r="I3">
        <f t="shared" si="0"/>
        <v>18220</v>
      </c>
      <c r="L3" t="s">
        <v>40</v>
      </c>
      <c r="M3" t="s">
        <v>57</v>
      </c>
      <c r="N3" t="s">
        <v>36</v>
      </c>
      <c r="O3">
        <v>18000</v>
      </c>
    </row>
    <row r="4" spans="1:15" outlineLevel="2" x14ac:dyDescent="0.3">
      <c r="A4" t="s">
        <v>44</v>
      </c>
      <c r="B4" t="s">
        <v>57</v>
      </c>
      <c r="C4" t="s">
        <v>36</v>
      </c>
      <c r="D4">
        <v>50000</v>
      </c>
      <c r="G4" s="1" t="s">
        <v>58</v>
      </c>
      <c r="H4">
        <f t="shared" si="0"/>
        <v>4130</v>
      </c>
      <c r="I4">
        <f t="shared" si="0"/>
        <v>4130</v>
      </c>
      <c r="L4" t="s">
        <v>44</v>
      </c>
      <c r="M4" t="s">
        <v>57</v>
      </c>
      <c r="N4" t="s">
        <v>36</v>
      </c>
      <c r="O4">
        <v>50000</v>
      </c>
    </row>
    <row r="5" spans="1:15" outlineLevel="2" x14ac:dyDescent="0.3">
      <c r="A5" t="s">
        <v>48</v>
      </c>
      <c r="B5" t="s">
        <v>57</v>
      </c>
      <c r="C5" t="s">
        <v>36</v>
      </c>
      <c r="D5">
        <v>11000</v>
      </c>
      <c r="L5" t="s">
        <v>48</v>
      </c>
      <c r="M5" t="s">
        <v>57</v>
      </c>
      <c r="N5" t="s">
        <v>36</v>
      </c>
      <c r="O5">
        <v>11000</v>
      </c>
    </row>
    <row r="6" spans="1:15" outlineLevel="2" x14ac:dyDescent="0.3">
      <c r="A6" t="s">
        <v>52</v>
      </c>
      <c r="B6" t="s">
        <v>57</v>
      </c>
      <c r="C6" t="s">
        <v>36</v>
      </c>
      <c r="D6">
        <v>4100</v>
      </c>
      <c r="L6" t="s">
        <v>52</v>
      </c>
      <c r="M6" t="s">
        <v>57</v>
      </c>
      <c r="N6" t="s">
        <v>36</v>
      </c>
      <c r="O6">
        <v>4100</v>
      </c>
    </row>
    <row r="7" spans="1:15" outlineLevel="1" x14ac:dyDescent="0.3">
      <c r="M7" s="1" t="s">
        <v>67</v>
      </c>
      <c r="O7">
        <f>SUBTOTAL(9,O2:O6)</f>
        <v>91100</v>
      </c>
    </row>
    <row r="8" spans="1:15" outlineLevel="2" x14ac:dyDescent="0.3">
      <c r="A8" t="s">
        <v>38</v>
      </c>
      <c r="B8" t="s">
        <v>58</v>
      </c>
      <c r="C8" t="s">
        <v>36</v>
      </c>
      <c r="D8">
        <v>2500</v>
      </c>
      <c r="L8" t="s">
        <v>38</v>
      </c>
      <c r="M8" t="s">
        <v>58</v>
      </c>
      <c r="N8" t="s">
        <v>36</v>
      </c>
      <c r="O8">
        <v>2500</v>
      </c>
    </row>
    <row r="9" spans="1:15" outlineLevel="2" x14ac:dyDescent="0.3">
      <c r="A9" t="s">
        <v>42</v>
      </c>
      <c r="B9" t="s">
        <v>58</v>
      </c>
      <c r="C9" t="s">
        <v>36</v>
      </c>
      <c r="D9">
        <v>1200</v>
      </c>
      <c r="G9" s="1" t="s">
        <v>55</v>
      </c>
      <c r="H9" s="1" t="s">
        <v>34</v>
      </c>
      <c r="I9" s="1" t="s">
        <v>36</v>
      </c>
      <c r="L9" t="s">
        <v>42</v>
      </c>
      <c r="M9" t="s">
        <v>58</v>
      </c>
      <c r="N9" t="s">
        <v>36</v>
      </c>
      <c r="O9">
        <v>1200</v>
      </c>
    </row>
    <row r="10" spans="1:15" outlineLevel="2" x14ac:dyDescent="0.3">
      <c r="A10" t="s">
        <v>46</v>
      </c>
      <c r="B10" t="s">
        <v>58</v>
      </c>
      <c r="C10" t="s">
        <v>36</v>
      </c>
      <c r="D10">
        <v>2200</v>
      </c>
      <c r="G10" s="1" t="s">
        <v>56</v>
      </c>
      <c r="H10">
        <f t="shared" ref="H10:I12" si="1">AVERAGEIFS($D$2:$D$23,$B$2:$B$23,$G2,$C$2:$C$23,H$1)</f>
        <v>8944.4444444444453</v>
      </c>
      <c r="I10">
        <f t="shared" si="1"/>
        <v>3000</v>
      </c>
      <c r="L10" t="s">
        <v>46</v>
      </c>
      <c r="M10" t="s">
        <v>58</v>
      </c>
      <c r="N10" t="s">
        <v>36</v>
      </c>
      <c r="O10">
        <v>2200</v>
      </c>
    </row>
    <row r="11" spans="1:15" outlineLevel="2" x14ac:dyDescent="0.3">
      <c r="A11" t="s">
        <v>50</v>
      </c>
      <c r="B11" t="s">
        <v>58</v>
      </c>
      <c r="C11" t="s">
        <v>36</v>
      </c>
      <c r="D11">
        <v>14000</v>
      </c>
      <c r="G11" s="1" t="s">
        <v>57</v>
      </c>
      <c r="H11" t="e">
        <f t="shared" si="1"/>
        <v>#DIV/0!</v>
      </c>
      <c r="I11">
        <f t="shared" si="1"/>
        <v>18220</v>
      </c>
      <c r="L11" t="s">
        <v>50</v>
      </c>
      <c r="M11" t="s">
        <v>58</v>
      </c>
      <c r="N11" t="s">
        <v>36</v>
      </c>
      <c r="O11">
        <v>14000</v>
      </c>
    </row>
    <row r="12" spans="1:15" outlineLevel="2" x14ac:dyDescent="0.3">
      <c r="A12" t="s">
        <v>54</v>
      </c>
      <c r="B12" t="s">
        <v>58</v>
      </c>
      <c r="C12" t="s">
        <v>36</v>
      </c>
      <c r="D12">
        <v>750</v>
      </c>
      <c r="G12" s="1" t="s">
        <v>58</v>
      </c>
      <c r="H12" t="e">
        <f t="shared" si="1"/>
        <v>#DIV/0!</v>
      </c>
      <c r="I12">
        <f t="shared" si="1"/>
        <v>4130</v>
      </c>
      <c r="L12" t="s">
        <v>54</v>
      </c>
      <c r="M12" t="s">
        <v>58</v>
      </c>
      <c r="N12" t="s">
        <v>36</v>
      </c>
      <c r="O12">
        <v>750</v>
      </c>
    </row>
    <row r="13" spans="1:15" outlineLevel="1" x14ac:dyDescent="0.3">
      <c r="G13" s="1"/>
      <c r="M13" s="1" t="s">
        <v>68</v>
      </c>
      <c r="O13">
        <f>SUBTOTAL(9,O8:O12)</f>
        <v>20650</v>
      </c>
    </row>
    <row r="14" spans="1:15" outlineLevel="2" x14ac:dyDescent="0.3">
      <c r="A14" t="s">
        <v>33</v>
      </c>
      <c r="B14" t="s">
        <v>56</v>
      </c>
      <c r="C14" t="s">
        <v>34</v>
      </c>
      <c r="D14">
        <v>15000</v>
      </c>
      <c r="F14" s="1" t="s">
        <v>71</v>
      </c>
      <c r="L14" t="s">
        <v>33</v>
      </c>
      <c r="M14" t="s">
        <v>56</v>
      </c>
      <c r="N14" t="s">
        <v>34</v>
      </c>
      <c r="O14">
        <v>15000</v>
      </c>
    </row>
    <row r="15" spans="1:15" outlineLevel="2" x14ac:dyDescent="0.3">
      <c r="A15" t="s">
        <v>37</v>
      </c>
      <c r="B15" t="s">
        <v>56</v>
      </c>
      <c r="C15" t="s">
        <v>34</v>
      </c>
      <c r="D15">
        <v>12000</v>
      </c>
      <c r="F15">
        <f>SUBTOTAL(9,D2:D23)</f>
        <v>195250</v>
      </c>
      <c r="L15" t="s">
        <v>37</v>
      </c>
      <c r="M15" t="s">
        <v>56</v>
      </c>
      <c r="N15" t="s">
        <v>34</v>
      </c>
      <c r="O15">
        <v>12000</v>
      </c>
    </row>
    <row r="16" spans="1:15" outlineLevel="2" x14ac:dyDescent="0.3">
      <c r="A16" t="s">
        <v>39</v>
      </c>
      <c r="B16" t="s">
        <v>56</v>
      </c>
      <c r="C16" t="s">
        <v>34</v>
      </c>
      <c r="D16">
        <v>7000</v>
      </c>
      <c r="L16" t="s">
        <v>39</v>
      </c>
      <c r="M16" t="s">
        <v>56</v>
      </c>
      <c r="N16" t="s">
        <v>34</v>
      </c>
      <c r="O16">
        <v>7000</v>
      </c>
    </row>
    <row r="17" spans="1:15" outlineLevel="2" x14ac:dyDescent="0.3">
      <c r="A17" t="s">
        <v>41</v>
      </c>
      <c r="B17" t="s">
        <v>56</v>
      </c>
      <c r="C17" t="s">
        <v>34</v>
      </c>
      <c r="D17">
        <v>9500</v>
      </c>
      <c r="L17" t="s">
        <v>41</v>
      </c>
      <c r="M17" t="s">
        <v>56</v>
      </c>
      <c r="N17" t="s">
        <v>34</v>
      </c>
      <c r="O17">
        <v>9500</v>
      </c>
    </row>
    <row r="18" spans="1:15" outlineLevel="2" x14ac:dyDescent="0.3">
      <c r="A18" t="s">
        <v>43</v>
      </c>
      <c r="B18" t="s">
        <v>56</v>
      </c>
      <c r="C18" t="s">
        <v>34</v>
      </c>
      <c r="D18">
        <v>900</v>
      </c>
      <c r="L18" t="s">
        <v>43</v>
      </c>
      <c r="M18" t="s">
        <v>56</v>
      </c>
      <c r="N18" t="s">
        <v>34</v>
      </c>
      <c r="O18">
        <v>900</v>
      </c>
    </row>
    <row r="19" spans="1:15" outlineLevel="2" x14ac:dyDescent="0.3">
      <c r="A19" t="s">
        <v>45</v>
      </c>
      <c r="B19" t="s">
        <v>56</v>
      </c>
      <c r="C19" t="s">
        <v>36</v>
      </c>
      <c r="D19">
        <v>3000</v>
      </c>
      <c r="L19" t="s">
        <v>45</v>
      </c>
      <c r="M19" t="s">
        <v>56</v>
      </c>
      <c r="N19" t="s">
        <v>36</v>
      </c>
      <c r="O19">
        <v>3000</v>
      </c>
    </row>
    <row r="20" spans="1:15" outlineLevel="2" x14ac:dyDescent="0.3">
      <c r="A20" t="s">
        <v>47</v>
      </c>
      <c r="B20" t="s">
        <v>56</v>
      </c>
      <c r="C20" t="s">
        <v>34</v>
      </c>
      <c r="D20">
        <v>27000</v>
      </c>
      <c r="L20" t="s">
        <v>47</v>
      </c>
      <c r="M20" t="s">
        <v>56</v>
      </c>
      <c r="N20" t="s">
        <v>34</v>
      </c>
      <c r="O20">
        <v>27000</v>
      </c>
    </row>
    <row r="21" spans="1:15" outlineLevel="2" x14ac:dyDescent="0.3">
      <c r="A21" t="s">
        <v>49</v>
      </c>
      <c r="B21" t="s">
        <v>56</v>
      </c>
      <c r="C21" t="s">
        <v>34</v>
      </c>
      <c r="D21">
        <v>5000</v>
      </c>
      <c r="L21" t="s">
        <v>49</v>
      </c>
      <c r="M21" t="s">
        <v>56</v>
      </c>
      <c r="N21" t="s">
        <v>34</v>
      </c>
      <c r="O21">
        <v>5000</v>
      </c>
    </row>
    <row r="22" spans="1:15" outlineLevel="2" x14ac:dyDescent="0.3">
      <c r="A22" t="s">
        <v>51</v>
      </c>
      <c r="B22" t="s">
        <v>56</v>
      </c>
      <c r="C22" t="s">
        <v>34</v>
      </c>
      <c r="D22">
        <v>2600</v>
      </c>
      <c r="L22" t="s">
        <v>51</v>
      </c>
      <c r="M22" t="s">
        <v>56</v>
      </c>
      <c r="N22" t="s">
        <v>34</v>
      </c>
      <c r="O22">
        <v>2600</v>
      </c>
    </row>
    <row r="23" spans="1:15" outlineLevel="2" x14ac:dyDescent="0.3">
      <c r="A23" t="s">
        <v>53</v>
      </c>
      <c r="B23" t="s">
        <v>56</v>
      </c>
      <c r="C23" t="s">
        <v>34</v>
      </c>
      <c r="D23">
        <v>1500</v>
      </c>
      <c r="L23" t="s">
        <v>53</v>
      </c>
      <c r="M23" t="s">
        <v>56</v>
      </c>
      <c r="N23" t="s">
        <v>34</v>
      </c>
      <c r="O23">
        <v>1500</v>
      </c>
    </row>
    <row r="24" spans="1:15" outlineLevel="1" x14ac:dyDescent="0.3">
      <c r="M24" s="1" t="s">
        <v>69</v>
      </c>
      <c r="O24">
        <f>SUBTOTAL(9,O14:O23)</f>
        <v>83500</v>
      </c>
    </row>
    <row r="25" spans="1:15" x14ac:dyDescent="0.3">
      <c r="M25" s="1" t="s">
        <v>70</v>
      </c>
      <c r="O25">
        <f>SUBTOTAL(9,O2:O23)</f>
        <v>195250</v>
      </c>
    </row>
  </sheetData>
  <sortState xmlns:xlrd2="http://schemas.microsoft.com/office/spreadsheetml/2017/richdata2" ref="A2:D23">
    <sortCondition ref="B2:B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3DCF-51E3-4D6A-A01F-883B5568C64A}">
  <dimension ref="A1:J8"/>
  <sheetViews>
    <sheetView workbookViewId="0">
      <selection sqref="A1:E6"/>
    </sheetView>
  </sheetViews>
  <sheetFormatPr defaultRowHeight="14.4" x14ac:dyDescent="0.3"/>
  <sheetData>
    <row r="1" spans="1:10" x14ac:dyDescent="0.3">
      <c r="A1" t="s">
        <v>61</v>
      </c>
      <c r="B1" t="s">
        <v>61</v>
      </c>
      <c r="D1" t="s">
        <v>61</v>
      </c>
      <c r="E1" t="s">
        <v>61</v>
      </c>
      <c r="G1" t="s">
        <v>62</v>
      </c>
    </row>
    <row r="2" spans="1:10" x14ac:dyDescent="0.3">
      <c r="A2" t="s">
        <v>61</v>
      </c>
      <c r="B2" t="s">
        <v>61</v>
      </c>
      <c r="C2" t="s">
        <v>62</v>
      </c>
      <c r="E2" t="s">
        <v>61</v>
      </c>
    </row>
    <row r="3" spans="1:10" x14ac:dyDescent="0.3">
      <c r="A3" t="s">
        <v>62</v>
      </c>
      <c r="C3" t="s">
        <v>61</v>
      </c>
      <c r="D3" t="s">
        <v>62</v>
      </c>
      <c r="G3" t="s">
        <v>61</v>
      </c>
      <c r="I3" t="s">
        <v>63</v>
      </c>
      <c r="J3">
        <f>COUNTIF(A1:G6,"M")</f>
        <v>15</v>
      </c>
    </row>
    <row r="4" spans="1:10" x14ac:dyDescent="0.3">
      <c r="A4" t="s">
        <v>61</v>
      </c>
      <c r="C4" t="s">
        <v>62</v>
      </c>
      <c r="E4" t="s">
        <v>61</v>
      </c>
      <c r="I4" t="s">
        <v>64</v>
      </c>
      <c r="J4">
        <f>COUNTIF(A1:G6,"F")</f>
        <v>9</v>
      </c>
    </row>
    <row r="5" spans="1:10" x14ac:dyDescent="0.3">
      <c r="A5" t="s">
        <v>61</v>
      </c>
      <c r="B5" t="s">
        <v>62</v>
      </c>
      <c r="D5" t="s">
        <v>61</v>
      </c>
      <c r="G5" t="s">
        <v>62</v>
      </c>
    </row>
    <row r="6" spans="1:10" x14ac:dyDescent="0.3">
      <c r="A6" t="s">
        <v>62</v>
      </c>
      <c r="C6" t="s">
        <v>61</v>
      </c>
      <c r="E6" t="s">
        <v>62</v>
      </c>
      <c r="G6" t="s">
        <v>61</v>
      </c>
    </row>
    <row r="7" spans="1:10" x14ac:dyDescent="0.3">
      <c r="I7" t="s">
        <v>65</v>
      </c>
      <c r="J7">
        <f>COUNTA(A1:G6)</f>
        <v>24</v>
      </c>
    </row>
    <row r="8" spans="1:10" x14ac:dyDescent="0.3">
      <c r="I8" t="s">
        <v>66</v>
      </c>
      <c r="J8">
        <f>COUNTBLANK(A1:G6)</f>
        <v>18</v>
      </c>
    </row>
  </sheetData>
  <conditionalFormatting sqref="A1:E6">
    <cfRule type="cellIs" dxfId="2" priority="1" operator="equal">
      <formula>"M"</formula>
    </cfRule>
    <cfRule type="cellIs" dxfId="1" priority="2" operator="equal">
      <formula>"F"</formula>
    </cfRule>
    <cfRule type="cellIs" dxfId="0" priority="3" operator="equal">
      <formula>F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2026-07-30T15:20:52Z</dcterms:created>
  <dcterms:modified xsi:type="dcterms:W3CDTF">2026-08-01T15:54:32Z</dcterms:modified>
</cp:coreProperties>
</file>
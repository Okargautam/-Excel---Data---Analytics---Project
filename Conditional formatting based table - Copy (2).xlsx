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522C59785A8FE8/Videos/Desktop/OMKAR/"/>
    </mc:Choice>
  </mc:AlternateContent>
  <xr:revisionPtr revIDLastSave="15" documentId="8_{85374277-7E53-4343-AB81-8F33D594BEBB}" xr6:coauthVersionLast="47" xr6:coauthVersionMax="47" xr10:uidLastSave="{F033C7DB-DD59-4571-A743-549FF0F8885C}"/>
  <bookViews>
    <workbookView xWindow="-108" yWindow="-108" windowWidth="23256" windowHeight="12456" activeTab="3" xr2:uid="{5B20B586-C2DA-476A-B9D5-372AD3E3D742}"/>
  </bookViews>
  <sheets>
    <sheet name="Sheet1" sheetId="1" r:id="rId1"/>
    <sheet name="Sheet4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 a="1"/>
  <c r="H17" i="4" s="1"/>
  <c r="I17" i="4" s="1"/>
  <c r="H18" i="4" a="1"/>
  <c r="H18" i="4" s="1"/>
  <c r="I18" i="4" s="1"/>
  <c r="G18" i="4"/>
  <c r="F18" i="4"/>
  <c r="J18" i="4" s="1"/>
  <c r="G17" i="4"/>
  <c r="F17" i="4"/>
  <c r="J17" i="4" s="1"/>
  <c r="H16" i="4" a="1"/>
  <c r="H16" i="4" s="1"/>
  <c r="J16" i="4" s="1"/>
  <c r="G16" i="4"/>
  <c r="F16" i="4"/>
  <c r="J15" i="4"/>
  <c r="H15" i="4" a="1"/>
  <c r="H15" i="4" s="1"/>
  <c r="I15" i="4" s="1"/>
  <c r="G15" i="4"/>
  <c r="F15" i="4"/>
  <c r="H14" i="4" a="1"/>
  <c r="H14" i="4" s="1"/>
  <c r="I14" i="4" s="1"/>
  <c r="G14" i="4"/>
  <c r="F14" i="4"/>
  <c r="J14" i="4" s="1"/>
  <c r="H13" i="4" a="1"/>
  <c r="H13" i="4" s="1"/>
  <c r="I13" i="4" s="1"/>
  <c r="G13" i="4"/>
  <c r="F13" i="4"/>
  <c r="J13" i="4" s="1"/>
  <c r="H12" i="4" a="1"/>
  <c r="H12" i="4" s="1"/>
  <c r="G12" i="4"/>
  <c r="F12" i="4"/>
  <c r="H11" i="4" a="1"/>
  <c r="H11" i="4" s="1"/>
  <c r="G11" i="4"/>
  <c r="F11" i="4"/>
  <c r="H10" i="4" a="1"/>
  <c r="H10" i="4" s="1"/>
  <c r="G10" i="4"/>
  <c r="F10" i="4"/>
  <c r="J10" i="4" s="1"/>
  <c r="H9" i="4" a="1"/>
  <c r="H9" i="4" s="1"/>
  <c r="I9" i="4" s="1"/>
  <c r="G9" i="4"/>
  <c r="F9" i="4"/>
  <c r="J9" i="4" s="1"/>
  <c r="H8" i="4" a="1"/>
  <c r="H8" i="4" s="1"/>
  <c r="G8" i="4"/>
  <c r="F8" i="4"/>
  <c r="J7" i="4"/>
  <c r="H7" i="4" a="1"/>
  <c r="H7" i="4" s="1"/>
  <c r="I7" i="4" s="1"/>
  <c r="G7" i="4"/>
  <c r="F7" i="4"/>
  <c r="H6" i="4" a="1"/>
  <c r="H6" i="4" s="1"/>
  <c r="I6" i="4" s="1"/>
  <c r="G6" i="4"/>
  <c r="F6" i="4"/>
  <c r="J6" i="4" s="1"/>
  <c r="H5" i="4" a="1"/>
  <c r="H5" i="4" s="1"/>
  <c r="I5" i="4" s="1"/>
  <c r="G5" i="4"/>
  <c r="F5" i="4"/>
  <c r="J5" i="4" s="1"/>
  <c r="J4" i="4"/>
  <c r="H4" i="4" a="1"/>
  <c r="H4" i="4" s="1"/>
  <c r="I4" i="4" s="1"/>
  <c r="G4" i="4"/>
  <c r="F4" i="4"/>
  <c r="J3" i="4"/>
  <c r="H3" i="4" a="1"/>
  <c r="H3" i="4" s="1"/>
  <c r="I3" i="4" s="1"/>
  <c r="G3" i="4"/>
  <c r="F3" i="4"/>
  <c r="H2" i="4" a="1"/>
  <c r="H2" i="4" s="1"/>
  <c r="G2" i="4"/>
  <c r="F2" i="4"/>
  <c r="J2" i="4" s="1"/>
  <c r="J8" i="4" l="1"/>
  <c r="I8" i="4"/>
  <c r="J11" i="4"/>
  <c r="I11" i="4"/>
  <c r="I10" i="4"/>
  <c r="I2" i="4"/>
  <c r="J12" i="4"/>
  <c r="I12" i="4"/>
  <c r="L3" i="3" a="1"/>
  <c r="L3" i="3" s="1"/>
  <c r="L4" i="3" a="1"/>
  <c r="L4" i="3" s="1"/>
  <c r="L5" i="3" a="1"/>
  <c r="L5" i="3"/>
  <c r="L6" i="3" a="1"/>
  <c r="L6" i="3"/>
  <c r="L7" i="3" a="1"/>
  <c r="L7" i="3" s="1"/>
  <c r="L8" i="3" a="1"/>
  <c r="L8" i="3" s="1"/>
  <c r="L9" i="3" a="1"/>
  <c r="L9" i="3"/>
  <c r="L10" i="3" a="1"/>
  <c r="L10" i="3"/>
  <c r="L11" i="3" a="1"/>
  <c r="L11" i="3" s="1"/>
  <c r="L12" i="3" a="1"/>
  <c r="L12" i="3" s="1"/>
  <c r="L13" i="3" a="1"/>
  <c r="L13" i="3" s="1"/>
  <c r="L2" i="3" a="1"/>
  <c r="L2" i="3" s="1"/>
  <c r="D3" i="3" a="1"/>
  <c r="D3" i="3" s="1"/>
  <c r="D4" i="3" a="1"/>
  <c r="D4" i="3" s="1"/>
  <c r="D5" i="3" a="1"/>
  <c r="D5" i="3"/>
  <c r="D6" i="3" a="1"/>
  <c r="D6" i="3" s="1"/>
  <c r="D7" i="3" a="1"/>
  <c r="D7" i="3" s="1"/>
  <c r="D2" i="3" a="1"/>
  <c r="D2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" i="1" l="1"/>
  <c r="F4" i="1"/>
  <c r="F5" i="1"/>
  <c r="F6" i="1"/>
  <c r="F7" i="1"/>
  <c r="F8" i="1"/>
  <c r="F9" i="1"/>
  <c r="F10" i="1"/>
  <c r="F11" i="1"/>
  <c r="F12" i="1"/>
  <c r="F13" i="1"/>
  <c r="F1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<sst xmlns="http://schemas.openxmlformats.org/spreadsheetml/2006/main" count="151" uniqueCount="51">
  <si>
    <t>Sr.No.</t>
  </si>
  <si>
    <t>Emp.</t>
  </si>
  <si>
    <t>Promotion: Yes/No</t>
  </si>
  <si>
    <t>A</t>
  </si>
  <si>
    <t>B</t>
  </si>
  <si>
    <t>C</t>
  </si>
  <si>
    <t>Days</t>
  </si>
  <si>
    <t>Performance/10</t>
  </si>
  <si>
    <t>DAYS&gt;=130</t>
  </si>
  <si>
    <t>Per&gt;=5</t>
  </si>
  <si>
    <t>And</t>
  </si>
  <si>
    <t>OR</t>
  </si>
  <si>
    <t>Student _Id</t>
  </si>
  <si>
    <t>Name student</t>
  </si>
  <si>
    <t>Subject1</t>
  </si>
  <si>
    <t>Result</t>
  </si>
  <si>
    <t>Grade</t>
  </si>
  <si>
    <t>Ab</t>
  </si>
  <si>
    <t>AC</t>
  </si>
  <si>
    <t>%Age</t>
  </si>
  <si>
    <t>Pass</t>
  </si>
  <si>
    <t>A++</t>
  </si>
  <si>
    <t>Fail</t>
  </si>
  <si>
    <t>A+</t>
  </si>
  <si>
    <t>Sachin</t>
  </si>
  <si>
    <t>Virat</t>
  </si>
  <si>
    <t>Customer</t>
  </si>
  <si>
    <t>Quantity Order</t>
  </si>
  <si>
    <t>Discount%</t>
  </si>
  <si>
    <t>Anil</t>
  </si>
  <si>
    <t>Vikash</t>
  </si>
  <si>
    <t>Vijay</t>
  </si>
  <si>
    <t>Snehal</t>
  </si>
  <si>
    <t>Conditions</t>
  </si>
  <si>
    <t>Greater Then equal to 10</t>
  </si>
  <si>
    <t>Greater Then equal to 5</t>
  </si>
  <si>
    <t>Lessn then 5</t>
  </si>
  <si>
    <t>Rating</t>
  </si>
  <si>
    <t>Costomer name</t>
  </si>
  <si>
    <t>Ajay</t>
  </si>
  <si>
    <t>Aman</t>
  </si>
  <si>
    <t>Abhishek</t>
  </si>
  <si>
    <t>Arnav</t>
  </si>
  <si>
    <t>Abhijeet</t>
  </si>
  <si>
    <t>Arun</t>
  </si>
  <si>
    <t>Amal</t>
  </si>
  <si>
    <t>Parsentage</t>
  </si>
  <si>
    <t>S</t>
  </si>
  <si>
    <t>Feed back</t>
  </si>
  <si>
    <t>Subject2</t>
  </si>
  <si>
    <t>Subject3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</si>
</sst>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1" applyNumberFormat="1" applyFont="1" applyAlignment="1">
      <alignment horizontal="center"/>
    </xf>
    <xf numFmtId="10" fontId="0" fillId="0" borderId="0" xfId="0" applyNumberFormat="1"/>
    <xf numFmtId="9" fontId="0" fillId="0" borderId="0" xfId="0" applyNumberFormat="1"/>
    <xf numFmtId="2" fontId="2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3" fillId="0" borderId="0" xfId="0" applyFont="1"/>
    <xf numFmtId="10" fontId="3" fillId="0" borderId="0" xfId="0" applyNumberFormat="1" applyFont="1"/>
  </cellXfs>
  <cellStyles count="2">
    <cellStyle name="Normal" xfId="0" builtinId="0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9C0006"/>
      </font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206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ont>
        <color rgb="FF9C0006"/>
      </font>
    </dxf>
    <dxf>
      <fill>
        <patternFill patternType="solid">
          <fgColor auto="1"/>
          <bgColor rgb="FF8EF0B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EF0B6"/>
      <color rgb="FF8588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0A8E-FF8C-4A44-B36D-F95706589D32}">
  <dimension ref="A1:F20"/>
  <sheetViews>
    <sheetView zoomScaleNormal="100" workbookViewId="0">
      <selection activeCell="C24" sqref="C24"/>
    </sheetView>
  </sheetViews>
  <sheetFormatPr defaultRowHeight="14.4" x14ac:dyDescent="0.3"/>
  <cols>
    <col min="3" max="3" width="16.33203125" bestFit="1" customWidth="1"/>
    <col min="4" max="4" width="16.33203125" customWidth="1"/>
    <col min="5" max="6" width="16.21875" bestFit="1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2</v>
      </c>
    </row>
    <row r="2" spans="1:6" x14ac:dyDescent="0.3">
      <c r="A2">
        <v>1</v>
      </c>
      <c r="B2" t="s">
        <v>3</v>
      </c>
      <c r="C2">
        <v>126</v>
      </c>
      <c r="D2">
        <v>9</v>
      </c>
      <c r="E2" t="str">
        <f>IF(AND(C2&gt;=130,D2&gt;=5),"Yes","No")</f>
        <v>No</v>
      </c>
      <c r="F2" t="str">
        <f>IF(OR(C2&gt;=130,D2&gt;=5),"Yes","No")</f>
        <v>Yes</v>
      </c>
    </row>
    <row r="3" spans="1:6" x14ac:dyDescent="0.3">
      <c r="A3">
        <v>2</v>
      </c>
      <c r="B3" t="s">
        <v>4</v>
      </c>
      <c r="C3">
        <v>145</v>
      </c>
      <c r="D3">
        <v>5</v>
      </c>
      <c r="E3" t="str">
        <f t="shared" ref="E3:E14" si="0">IF(AND(C3&gt;=130,D3&gt;=5),"Yes","No")</f>
        <v>Yes</v>
      </c>
      <c r="F3" t="str">
        <f t="shared" ref="F3:F14" si="1">IF(OR(C3&gt;=130,D3&gt;=5),"Yes","No")</f>
        <v>Yes</v>
      </c>
    </row>
    <row r="4" spans="1:6" x14ac:dyDescent="0.3">
      <c r="A4">
        <v>3</v>
      </c>
      <c r="B4" t="s">
        <v>5</v>
      </c>
      <c r="C4">
        <v>123</v>
      </c>
      <c r="D4">
        <v>8</v>
      </c>
      <c r="E4" t="str">
        <f t="shared" si="0"/>
        <v>No</v>
      </c>
      <c r="F4" t="str">
        <f t="shared" si="1"/>
        <v>Yes</v>
      </c>
    </row>
    <row r="5" spans="1:6" x14ac:dyDescent="0.3">
      <c r="A5">
        <v>4</v>
      </c>
      <c r="B5" t="s">
        <v>3</v>
      </c>
      <c r="C5">
        <v>121</v>
      </c>
      <c r="D5">
        <v>6</v>
      </c>
      <c r="E5" t="str">
        <f t="shared" si="0"/>
        <v>No</v>
      </c>
      <c r="F5" t="str">
        <f t="shared" si="1"/>
        <v>Yes</v>
      </c>
    </row>
    <row r="6" spans="1:6" x14ac:dyDescent="0.3">
      <c r="A6">
        <v>5</v>
      </c>
      <c r="B6" t="s">
        <v>4</v>
      </c>
      <c r="C6">
        <v>141</v>
      </c>
      <c r="D6">
        <v>4</v>
      </c>
      <c r="E6" t="str">
        <f t="shared" si="0"/>
        <v>No</v>
      </c>
      <c r="F6" t="str">
        <f t="shared" si="1"/>
        <v>Yes</v>
      </c>
    </row>
    <row r="7" spans="1:6" x14ac:dyDescent="0.3">
      <c r="A7">
        <v>6</v>
      </c>
      <c r="B7" t="s">
        <v>5</v>
      </c>
      <c r="C7">
        <v>145</v>
      </c>
      <c r="D7">
        <v>3</v>
      </c>
      <c r="E7" t="str">
        <f t="shared" si="0"/>
        <v>No</v>
      </c>
      <c r="F7" t="str">
        <f t="shared" si="1"/>
        <v>Yes</v>
      </c>
    </row>
    <row r="8" spans="1:6" x14ac:dyDescent="0.3">
      <c r="A8">
        <v>7</v>
      </c>
      <c r="B8" t="s">
        <v>3</v>
      </c>
      <c r="C8">
        <v>162</v>
      </c>
      <c r="D8">
        <v>6</v>
      </c>
      <c r="E8" t="str">
        <f t="shared" si="0"/>
        <v>Yes</v>
      </c>
      <c r="F8" t="str">
        <f t="shared" si="1"/>
        <v>Yes</v>
      </c>
    </row>
    <row r="9" spans="1:6" x14ac:dyDescent="0.3">
      <c r="A9">
        <v>8</v>
      </c>
      <c r="B9" t="s">
        <v>4</v>
      </c>
      <c r="C9">
        <v>163</v>
      </c>
      <c r="D9">
        <v>7</v>
      </c>
      <c r="E9" t="str">
        <f t="shared" si="0"/>
        <v>Yes</v>
      </c>
      <c r="F9" t="str">
        <f t="shared" si="1"/>
        <v>Yes</v>
      </c>
    </row>
    <row r="10" spans="1:6" x14ac:dyDescent="0.3">
      <c r="A10">
        <v>9</v>
      </c>
      <c r="B10" t="s">
        <v>5</v>
      </c>
      <c r="C10">
        <v>153</v>
      </c>
      <c r="D10">
        <v>8</v>
      </c>
      <c r="E10" t="str">
        <f t="shared" si="0"/>
        <v>Yes</v>
      </c>
      <c r="F10" t="str">
        <f t="shared" si="1"/>
        <v>Yes</v>
      </c>
    </row>
    <row r="11" spans="1:6" x14ac:dyDescent="0.3">
      <c r="A11">
        <v>10</v>
      </c>
      <c r="B11" t="s">
        <v>3</v>
      </c>
      <c r="C11">
        <v>143</v>
      </c>
      <c r="D11">
        <v>5</v>
      </c>
      <c r="E11" t="str">
        <f t="shared" si="0"/>
        <v>Yes</v>
      </c>
      <c r="F11" t="str">
        <f t="shared" si="1"/>
        <v>Yes</v>
      </c>
    </row>
    <row r="12" spans="1:6" x14ac:dyDescent="0.3">
      <c r="A12">
        <v>11</v>
      </c>
      <c r="B12" t="s">
        <v>4</v>
      </c>
      <c r="C12">
        <v>162</v>
      </c>
      <c r="D12">
        <v>9</v>
      </c>
      <c r="E12" t="str">
        <f t="shared" si="0"/>
        <v>Yes</v>
      </c>
      <c r="F12" t="str">
        <f t="shared" si="1"/>
        <v>Yes</v>
      </c>
    </row>
    <row r="13" spans="1:6" x14ac:dyDescent="0.3">
      <c r="A13">
        <v>12</v>
      </c>
      <c r="B13" t="s">
        <v>5</v>
      </c>
      <c r="C13">
        <v>180</v>
      </c>
      <c r="D13">
        <v>4</v>
      </c>
      <c r="E13" t="str">
        <f t="shared" si="0"/>
        <v>No</v>
      </c>
      <c r="F13" t="str">
        <f t="shared" si="1"/>
        <v>Yes</v>
      </c>
    </row>
    <row r="14" spans="1:6" x14ac:dyDescent="0.3">
      <c r="A14">
        <v>13</v>
      </c>
      <c r="B14" t="s">
        <v>3</v>
      </c>
      <c r="C14">
        <v>134</v>
      </c>
      <c r="D14">
        <v>4</v>
      </c>
      <c r="E14" t="str">
        <f t="shared" si="0"/>
        <v>No</v>
      </c>
      <c r="F14" t="str">
        <f t="shared" si="1"/>
        <v>Yes</v>
      </c>
    </row>
    <row r="18" spans="4:6" x14ac:dyDescent="0.3">
      <c r="D18" t="s">
        <v>10</v>
      </c>
      <c r="F18" t="s">
        <v>11</v>
      </c>
    </row>
    <row r="19" spans="4:6" x14ac:dyDescent="0.3">
      <c r="D19" t="s">
        <v>8</v>
      </c>
      <c r="F19" t="s">
        <v>8</v>
      </c>
    </row>
    <row r="20" spans="4:6" x14ac:dyDescent="0.3">
      <c r="D20" t="s">
        <v>9</v>
      </c>
      <c r="F2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BA18-9BF7-4844-A9D0-1B6F10DEA33D}">
  <dimension ref="A1:P18"/>
  <sheetViews>
    <sheetView workbookViewId="0">
      <selection activeCell="P2" sqref="P2"/>
    </sheetView>
  </sheetViews>
  <sheetFormatPr defaultRowHeight="14.4" x14ac:dyDescent="0.3"/>
  <cols>
    <col min="8" max="8" width="9.5546875" bestFit="1" customWidth="1"/>
  </cols>
  <sheetData>
    <row r="1" spans="1:16" ht="18" x14ac:dyDescent="0.35">
      <c r="A1" s="1" t="s">
        <v>12</v>
      </c>
      <c r="B1" s="1" t="s">
        <v>13</v>
      </c>
      <c r="C1" s="2" t="s">
        <v>14</v>
      </c>
      <c r="D1" s="2" t="s">
        <v>14</v>
      </c>
      <c r="E1" s="2" t="s">
        <v>14</v>
      </c>
      <c r="F1" s="1" t="s">
        <v>15</v>
      </c>
      <c r="G1" s="1" t="s">
        <v>15</v>
      </c>
      <c r="H1" s="1" t="s">
        <v>46</v>
      </c>
      <c r="I1" s="1" t="s">
        <v>16</v>
      </c>
      <c r="J1" s="1" t="s">
        <v>16</v>
      </c>
    </row>
    <row r="2" spans="1:16" x14ac:dyDescent="0.3">
      <c r="A2" t="s">
        <v>3</v>
      </c>
      <c r="B2" t="s">
        <v>17</v>
      </c>
      <c r="C2" s="3">
        <v>54</v>
      </c>
      <c r="D2" s="3">
        <v>67</v>
      </c>
      <c r="E2" s="3">
        <v>47</v>
      </c>
      <c r="F2" s="3" t="str">
        <f>IF(AND(C2&gt;=45,D2&gt;=45,E2&gt;=45),"Pass","Fail")</f>
        <v>Pass</v>
      </c>
      <c r="G2" s="3" t="str">
        <f>IF(OR(C2&lt;45,D2&lt;45,E2&lt;45),"Fail","Pass")</f>
        <v>Pass</v>
      </c>
      <c r="H2" s="4" cm="1">
        <f t="array" ref="H2">SUM(C2:E2/300*100)</f>
        <v>56</v>
      </c>
      <c r="I2" t="str">
        <f>IF(H10&gt;=90,"A++",IF(H10&gt;=80,"A+",IF(H10&gt;70,"A",IF(H10&gt;=60,"B",IF(H10&gt;=45,"C","D")))))</f>
        <v>C</v>
      </c>
      <c r="J2" t="str">
        <f>IF(F2="Fail","Fail",IF(H2&gt;=90,"A++",IF(H2&gt;=80,"A+",IF(H2&gt;=70,"A",IF(H2&gt;=60,"B",IF(H2&gt;=45,"C","Fail"))))))</f>
        <v>C</v>
      </c>
      <c r="P2" t="s">
        <v>47</v>
      </c>
    </row>
    <row r="3" spans="1:16" x14ac:dyDescent="0.3">
      <c r="A3" t="s">
        <v>4</v>
      </c>
      <c r="B3" t="s">
        <v>18</v>
      </c>
      <c r="C3" s="3">
        <v>74</v>
      </c>
      <c r="D3" s="3">
        <v>56</v>
      </c>
      <c r="E3" s="3">
        <v>22</v>
      </c>
      <c r="F3" s="3" t="str">
        <f t="shared" ref="F3:F18" si="0">IF(AND(C3&gt;=45,D3&gt;=45,E3&gt;=45),"Pass","Fail")</f>
        <v>Fail</v>
      </c>
      <c r="G3" s="3" t="str">
        <f t="shared" ref="G3:G18" si="1">IF(OR(C3&lt;45,D3&lt;45,E3&lt;45),"Fail","Pass")</f>
        <v>Fail</v>
      </c>
      <c r="H3" s="4" cm="1">
        <f t="array" ref="H3">SUM(C3:E3/300*100)</f>
        <v>50.666666666666671</v>
      </c>
      <c r="I3" t="str">
        <f t="shared" ref="I3:I9" si="2">IF(H3&gt;=90,"A++",IF(H3&gt;=80,"A+",IF(H3&gt;70,"A",IF(H3&gt;=60,"B",IF(H3&gt;=45,"C","D")))))</f>
        <v>C</v>
      </c>
      <c r="J3" t="str">
        <f t="shared" ref="J3:J18" si="3">IF(F3="Fail","Fail",IF(H3&gt;=90,"A++",IF(H3&gt;=80,"A+",IF(H3&gt;=70,"A",IF(H3&gt;=60,"B",IF(H3&gt;=45,"C","Fail"))))))</f>
        <v>Fail</v>
      </c>
    </row>
    <row r="4" spans="1:16" x14ac:dyDescent="0.3">
      <c r="A4" t="s">
        <v>3</v>
      </c>
      <c r="B4" t="s">
        <v>17</v>
      </c>
      <c r="C4" s="3">
        <v>96</v>
      </c>
      <c r="D4" s="3">
        <v>15</v>
      </c>
      <c r="E4" s="3">
        <v>83</v>
      </c>
      <c r="F4" s="3" t="str">
        <f t="shared" si="0"/>
        <v>Fail</v>
      </c>
      <c r="G4" s="3" t="str">
        <f t="shared" si="1"/>
        <v>Fail</v>
      </c>
      <c r="H4" s="4" cm="1">
        <f t="array" ref="H4">SUM(C4:E4/300*100)</f>
        <v>64.666666666666671</v>
      </c>
      <c r="I4" t="str">
        <f t="shared" si="2"/>
        <v>B</v>
      </c>
      <c r="J4" t="str">
        <f t="shared" si="3"/>
        <v>Fail</v>
      </c>
    </row>
    <row r="5" spans="1:16" x14ac:dyDescent="0.3">
      <c r="A5" t="s">
        <v>4</v>
      </c>
      <c r="B5" t="s">
        <v>18</v>
      </c>
      <c r="C5" s="3">
        <v>49</v>
      </c>
      <c r="D5" s="3">
        <v>99</v>
      </c>
      <c r="E5" s="3">
        <v>54</v>
      </c>
      <c r="F5" s="3" t="str">
        <f t="shared" si="0"/>
        <v>Pass</v>
      </c>
      <c r="G5" s="3" t="str">
        <f t="shared" si="1"/>
        <v>Pass</v>
      </c>
      <c r="H5" s="4" cm="1">
        <f t="array" ref="H5">SUM(C5:E5/300*100)</f>
        <v>67.333333333333329</v>
      </c>
      <c r="I5" t="str">
        <f t="shared" si="2"/>
        <v>B</v>
      </c>
      <c r="J5" t="str">
        <f t="shared" si="3"/>
        <v>B</v>
      </c>
    </row>
    <row r="6" spans="1:16" x14ac:dyDescent="0.3">
      <c r="A6" t="s">
        <v>3</v>
      </c>
      <c r="B6" t="s">
        <v>17</v>
      </c>
      <c r="C6" s="3">
        <v>28</v>
      </c>
      <c r="D6" s="3">
        <v>48</v>
      </c>
      <c r="E6" s="3">
        <v>79</v>
      </c>
      <c r="F6" s="3" t="str">
        <f t="shared" si="0"/>
        <v>Fail</v>
      </c>
      <c r="G6" s="3" t="str">
        <f t="shared" si="1"/>
        <v>Fail</v>
      </c>
      <c r="H6" s="4" cm="1">
        <f t="array" ref="H6">SUM(C6:E6/300*100)</f>
        <v>51.666666666666671</v>
      </c>
      <c r="I6" t="str">
        <f t="shared" si="2"/>
        <v>C</v>
      </c>
      <c r="J6" t="str">
        <f t="shared" si="3"/>
        <v>Fail</v>
      </c>
    </row>
    <row r="7" spans="1:16" x14ac:dyDescent="0.3">
      <c r="A7" t="s">
        <v>4</v>
      </c>
      <c r="B7" t="s">
        <v>18</v>
      </c>
      <c r="C7" s="3">
        <v>10</v>
      </c>
      <c r="D7" s="3">
        <v>89</v>
      </c>
      <c r="E7" s="3">
        <v>40</v>
      </c>
      <c r="F7" s="3" t="str">
        <f t="shared" si="0"/>
        <v>Fail</v>
      </c>
      <c r="G7" s="3" t="str">
        <f t="shared" si="1"/>
        <v>Fail</v>
      </c>
      <c r="H7" s="10" cm="1">
        <f t="array" ref="H7">SUM(C7:E7/300*100)</f>
        <v>46.333333333333336</v>
      </c>
      <c r="I7" t="str">
        <f t="shared" si="2"/>
        <v>C</v>
      </c>
      <c r="J7" t="str">
        <f t="shared" si="3"/>
        <v>Fail</v>
      </c>
    </row>
    <row r="8" spans="1:16" x14ac:dyDescent="0.3">
      <c r="A8" t="s">
        <v>3</v>
      </c>
      <c r="B8" t="s">
        <v>17</v>
      </c>
      <c r="C8" s="3">
        <v>60</v>
      </c>
      <c r="D8" s="3">
        <v>54</v>
      </c>
      <c r="E8" s="3">
        <v>85</v>
      </c>
      <c r="F8" s="3" t="str">
        <f t="shared" si="0"/>
        <v>Pass</v>
      </c>
      <c r="G8" s="3" t="str">
        <f t="shared" si="1"/>
        <v>Pass</v>
      </c>
      <c r="H8" s="4" cm="1">
        <f t="array" ref="H8">SUM(C8:E8/300*100)</f>
        <v>66.333333333333329</v>
      </c>
      <c r="I8" t="str">
        <f t="shared" si="2"/>
        <v>B</v>
      </c>
      <c r="J8" t="str">
        <f t="shared" si="3"/>
        <v>B</v>
      </c>
    </row>
    <row r="9" spans="1:16" x14ac:dyDescent="0.3">
      <c r="A9" t="s">
        <v>4</v>
      </c>
      <c r="B9" t="s">
        <v>18</v>
      </c>
      <c r="C9" s="3">
        <v>76</v>
      </c>
      <c r="D9" s="3">
        <v>96</v>
      </c>
      <c r="E9" s="3">
        <v>71</v>
      </c>
      <c r="F9" s="3" t="str">
        <f t="shared" si="0"/>
        <v>Pass</v>
      </c>
      <c r="G9" s="3" t="str">
        <f t="shared" si="1"/>
        <v>Pass</v>
      </c>
      <c r="H9" s="4" cm="1">
        <f t="array" ref="H9">SUM(C9:E9/300*100)</f>
        <v>81</v>
      </c>
      <c r="I9" t="str">
        <f t="shared" si="2"/>
        <v>A+</v>
      </c>
      <c r="J9" t="str">
        <f t="shared" si="3"/>
        <v>A+</v>
      </c>
    </row>
    <row r="10" spans="1:16" x14ac:dyDescent="0.3">
      <c r="A10" t="s">
        <v>3</v>
      </c>
      <c r="B10" t="s">
        <v>17</v>
      </c>
      <c r="C10" s="3">
        <v>45</v>
      </c>
      <c r="D10" s="3">
        <v>46</v>
      </c>
      <c r="E10" s="3">
        <v>48</v>
      </c>
      <c r="F10" s="3" t="str">
        <f t="shared" si="0"/>
        <v>Pass</v>
      </c>
      <c r="G10" s="3" t="str">
        <f t="shared" si="1"/>
        <v>Pass</v>
      </c>
      <c r="H10" s="11" cm="1">
        <f t="array" ref="H10">SUM(C10:E10/300*100)</f>
        <v>46.333333333333329</v>
      </c>
      <c r="I10" t="str">
        <f>IF(H10&gt;=90,"A++",IF(H10&gt;=80,"A+",IF(H10&gt;70,"A",IF(H10&gt;=60,"B",IF(H10&gt;=45,"C","D")))))</f>
        <v>C</v>
      </c>
      <c r="J10" t="str">
        <f t="shared" si="3"/>
        <v>C</v>
      </c>
    </row>
    <row r="11" spans="1:16" x14ac:dyDescent="0.3">
      <c r="A11" t="s">
        <v>4</v>
      </c>
      <c r="B11" t="s">
        <v>18</v>
      </c>
      <c r="C11" s="3">
        <v>80</v>
      </c>
      <c r="D11" s="3">
        <v>66</v>
      </c>
      <c r="E11" s="3">
        <v>56</v>
      </c>
      <c r="F11" s="3" t="str">
        <f t="shared" si="0"/>
        <v>Pass</v>
      </c>
      <c r="G11" s="3" t="str">
        <f t="shared" si="1"/>
        <v>Pass</v>
      </c>
      <c r="H11" s="4" cm="1">
        <f t="array" ref="H11">SUM(C11:E11/300*100)</f>
        <v>67.333333333333343</v>
      </c>
      <c r="I11" t="str">
        <f t="shared" ref="I11:I15" si="4">IF(H11&gt;=90,"A++",IF(H11&gt;=80,"A+",IF(H11&gt;70,"A",IF(H11&gt;=60,"B",IF(H11&gt;=45,"C","D")))))</f>
        <v>B</v>
      </c>
      <c r="J11" t="str">
        <f t="shared" si="3"/>
        <v>B</v>
      </c>
    </row>
    <row r="12" spans="1:16" x14ac:dyDescent="0.3">
      <c r="A12" t="s">
        <v>3</v>
      </c>
      <c r="B12" t="s">
        <v>17</v>
      </c>
      <c r="C12" s="3">
        <v>52</v>
      </c>
      <c r="D12" s="3">
        <v>62</v>
      </c>
      <c r="E12" s="3">
        <v>47</v>
      </c>
      <c r="F12" s="3" t="str">
        <f t="shared" si="0"/>
        <v>Pass</v>
      </c>
      <c r="G12" s="3" t="str">
        <f t="shared" si="1"/>
        <v>Pass</v>
      </c>
      <c r="H12" s="4" cm="1">
        <f t="array" ref="H12">SUM(C12:E12/300*100)</f>
        <v>53.666666666666671</v>
      </c>
      <c r="I12" t="str">
        <f t="shared" si="4"/>
        <v>C</v>
      </c>
      <c r="J12" t="str">
        <f t="shared" si="3"/>
        <v>C</v>
      </c>
    </row>
    <row r="13" spans="1:16" x14ac:dyDescent="0.3">
      <c r="A13" t="s">
        <v>4</v>
      </c>
      <c r="B13" t="s">
        <v>18</v>
      </c>
      <c r="C13" s="3">
        <v>89</v>
      </c>
      <c r="D13" s="3">
        <v>53</v>
      </c>
      <c r="E13" s="3">
        <v>22</v>
      </c>
      <c r="F13" s="3" t="str">
        <f t="shared" si="0"/>
        <v>Fail</v>
      </c>
      <c r="G13" s="3" t="str">
        <f t="shared" si="1"/>
        <v>Fail</v>
      </c>
      <c r="H13" s="4" cm="1">
        <f t="array" ref="H13">SUM(C13:E13/300*100)</f>
        <v>54.666666666666671</v>
      </c>
      <c r="I13" t="str">
        <f t="shared" si="4"/>
        <v>C</v>
      </c>
      <c r="J13" t="str">
        <f t="shared" si="3"/>
        <v>Fail</v>
      </c>
    </row>
    <row r="14" spans="1:16" x14ac:dyDescent="0.3">
      <c r="A14" t="s">
        <v>3</v>
      </c>
      <c r="B14" t="s">
        <v>17</v>
      </c>
      <c r="C14" s="3">
        <v>40</v>
      </c>
      <c r="D14" s="3">
        <v>78</v>
      </c>
      <c r="E14" s="3">
        <v>49</v>
      </c>
      <c r="F14" s="3" t="str">
        <f t="shared" si="0"/>
        <v>Fail</v>
      </c>
      <c r="G14" s="3" t="str">
        <f t="shared" si="1"/>
        <v>Fail</v>
      </c>
      <c r="H14" s="4" cm="1">
        <f t="array" ref="H14">SUM(C14:E14/300*100)</f>
        <v>55.666666666666671</v>
      </c>
      <c r="I14" t="str">
        <f t="shared" si="4"/>
        <v>C</v>
      </c>
      <c r="J14" t="str">
        <f t="shared" si="3"/>
        <v>Fail</v>
      </c>
    </row>
    <row r="15" spans="1:16" x14ac:dyDescent="0.3">
      <c r="A15" t="s">
        <v>4</v>
      </c>
      <c r="B15" t="s">
        <v>18</v>
      </c>
      <c r="C15" s="3">
        <v>82</v>
      </c>
      <c r="D15" s="3">
        <v>20</v>
      </c>
      <c r="E15" s="3">
        <v>73</v>
      </c>
      <c r="F15" s="3" t="str">
        <f t="shared" si="0"/>
        <v>Fail</v>
      </c>
      <c r="G15" s="3" t="str">
        <f t="shared" si="1"/>
        <v>Fail</v>
      </c>
      <c r="H15" s="4" cm="1">
        <f t="array" ref="H15">SUM(C15:E15/300*100)</f>
        <v>58.333333333333336</v>
      </c>
      <c r="I15" t="str">
        <f t="shared" si="4"/>
        <v>C</v>
      </c>
      <c r="J15" t="str">
        <f t="shared" si="3"/>
        <v>Fail</v>
      </c>
    </row>
    <row r="16" spans="1:16" x14ac:dyDescent="0.3">
      <c r="A16" t="s">
        <v>3</v>
      </c>
      <c r="B16" t="s">
        <v>17</v>
      </c>
      <c r="C16" s="3">
        <v>52</v>
      </c>
      <c r="D16" s="3">
        <v>46</v>
      </c>
      <c r="E16" s="3">
        <v>58</v>
      </c>
      <c r="F16" s="3" t="str">
        <f t="shared" si="0"/>
        <v>Pass</v>
      </c>
      <c r="G16" s="3" t="str">
        <f t="shared" si="1"/>
        <v>Pass</v>
      </c>
      <c r="H16" s="4" cm="1">
        <f t="array" ref="H16">SUM(C16:E16/300*100)</f>
        <v>52</v>
      </c>
      <c r="I16" t="s">
        <v>5</v>
      </c>
      <c r="J16" t="str">
        <f t="shared" si="3"/>
        <v>C</v>
      </c>
    </row>
    <row r="17" spans="1:10" x14ac:dyDescent="0.3">
      <c r="A17" t="s">
        <v>4</v>
      </c>
      <c r="B17" t="s">
        <v>18</v>
      </c>
      <c r="C17" s="3">
        <v>21</v>
      </c>
      <c r="D17" s="3">
        <v>69</v>
      </c>
      <c r="E17" s="3">
        <v>40</v>
      </c>
      <c r="F17" s="3" t="str">
        <f t="shared" si="0"/>
        <v>Fail</v>
      </c>
      <c r="G17" s="3" t="str">
        <f t="shared" si="1"/>
        <v>Fail</v>
      </c>
      <c r="H17" s="12" cm="1">
        <f t="array" ref="H17">SUM(C17:E17/300*100)</f>
        <v>43.333333333333336</v>
      </c>
      <c r="I17" t="str">
        <f t="shared" ref="I17:I18" si="5">IF(H17&gt;=90,"A++",IF(H17&gt;=80,"A+",IF(H17&gt;70,"A",IF(H17&gt;=60,"B",IF(H17&gt;=45,"C","D")))))</f>
        <v>D</v>
      </c>
      <c r="J17" t="str">
        <f t="shared" si="3"/>
        <v>Fail</v>
      </c>
    </row>
    <row r="18" spans="1:10" x14ac:dyDescent="0.3">
      <c r="A18" t="s">
        <v>3</v>
      </c>
      <c r="B18" t="s">
        <v>17</v>
      </c>
      <c r="C18" s="3">
        <v>14</v>
      </c>
      <c r="D18" s="3">
        <v>16</v>
      </c>
      <c r="E18" s="3">
        <v>91</v>
      </c>
      <c r="F18" s="3" t="str">
        <f t="shared" si="0"/>
        <v>Fail</v>
      </c>
      <c r="G18" s="3" t="str">
        <f t="shared" si="1"/>
        <v>Fail</v>
      </c>
      <c r="H18" s="12" cm="1">
        <f t="array" ref="H18">SUM(C18:E18/300*100)</f>
        <v>40.333333333333336</v>
      </c>
      <c r="I18" t="str">
        <f t="shared" si="5"/>
        <v>D</v>
      </c>
      <c r="J18" t="str">
        <f t="shared" si="3"/>
        <v>Fail</v>
      </c>
    </row>
  </sheetData>
  <conditionalFormatting sqref="C1:E18">
    <cfRule type="top10" dxfId="20" priority="33" rank="10"/>
  </conditionalFormatting>
  <conditionalFormatting sqref="C2:E18">
    <cfRule type="cellIs" dxfId="19" priority="1" operator="lessThan">
      <formula>50</formula>
    </cfRule>
    <cfRule type="duplicateValues" dxfId="18" priority="2"/>
    <cfRule type="cellIs" dxfId="17" priority="3" operator="between">
      <formula>50</formula>
      <formula>77</formula>
    </cfRule>
    <cfRule type="top10" dxfId="16" priority="12" rank="10"/>
  </conditionalFormatting>
  <conditionalFormatting sqref="H1:H1048576">
    <cfRule type="cellIs" dxfId="15" priority="4" operator="equal">
      <formula>52</formula>
    </cfRule>
    <cfRule type="expression" dxfId="14" priority="5">
      <formula>ROUND($H1,2)=46.33</formula>
    </cfRule>
    <cfRule type="expression" dxfId="13" priority="6">
      <formula>ROUND($H1,2)=40.33</formula>
    </cfRule>
    <cfRule type="cellIs" dxfId="12" priority="9" operator="equal">
      <formula>46.33</formula>
    </cfRule>
    <cfRule type="expression" priority="10">
      <formula>ROUND(($C$3+$D$2+$E$2)/3,2)</formula>
    </cfRule>
    <cfRule type="cellIs" dxfId="11" priority="13" operator="equal">
      <formula>46.33</formula>
    </cfRule>
    <cfRule type="cellIs" dxfId="10" priority="15" operator="between">
      <formula>40.33</formula>
      <formula>50.67</formula>
    </cfRule>
    <cfRule type="cellIs" dxfId="9" priority="16" operator="equal">
      <formula>46.33</formula>
    </cfRule>
    <cfRule type="cellIs" dxfId="8" priority="17" operator="equal">
      <formula>46.33</formula>
    </cfRule>
    <cfRule type="cellIs" dxfId="7" priority="18" operator="equal">
      <formula>46</formula>
    </cfRule>
    <cfRule type="cellIs" dxfId="6" priority="19" operator="equal">
      <formula>46</formula>
    </cfRule>
    <cfRule type="cellIs" dxfId="5" priority="20" operator="equal">
      <formula>46</formula>
    </cfRule>
    <cfRule type="cellIs" dxfId="4" priority="21" operator="between">
      <formula>51</formula>
      <formula>60</formula>
    </cfRule>
    <cfRule type="cellIs" dxfId="3" priority="22" operator="greaterThan">
      <formula>60.67</formula>
    </cfRule>
    <cfRule type="cellIs" dxfId="2" priority="23" operator="greaterThan">
      <formula>60.67</formula>
    </cfRule>
    <cfRule type="cellIs" dxfId="1" priority="24" operator="greaterThan">
      <formula>65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8DEC-9CD8-4B88-AEDE-F2676F623DA8}">
  <dimension ref="A1:M45"/>
  <sheetViews>
    <sheetView workbookViewId="0">
      <selection activeCell="K10" sqref="K10"/>
    </sheetView>
  </sheetViews>
  <sheetFormatPr defaultRowHeight="14.4" x14ac:dyDescent="0.3"/>
  <cols>
    <col min="4" max="4" width="20.6640625" style="5" bestFit="1" customWidth="1"/>
    <col min="5" max="5" width="16" customWidth="1"/>
    <col min="11" max="11" width="13.88671875" bestFit="1" customWidth="1"/>
  </cols>
  <sheetData>
    <row r="1" spans="1:13" x14ac:dyDescent="0.3">
      <c r="A1" s="13" t="s">
        <v>0</v>
      </c>
      <c r="B1" s="13" t="s">
        <v>26</v>
      </c>
      <c r="C1" s="13" t="s">
        <v>27</v>
      </c>
      <c r="D1" s="14" t="s">
        <v>28</v>
      </c>
      <c r="J1" s="13" t="s">
        <v>37</v>
      </c>
      <c r="K1" s="13" t="s">
        <v>38</v>
      </c>
      <c r="L1" s="13" t="s">
        <v>48</v>
      </c>
      <c r="M1" s="13"/>
    </row>
    <row r="2" spans="1:13" x14ac:dyDescent="0.3">
      <c r="A2">
        <v>1</v>
      </c>
      <c r="B2" t="s">
        <v>29</v>
      </c>
      <c r="C2">
        <v>18</v>
      </c>
      <c r="D2" s="5" cm="1">
        <f t="array" ref="D2">_xlfn.IFS(C2&gt;=10,20%,C2&gt;=5,10%,C2&lt;5,0)</f>
        <v>0.2</v>
      </c>
      <c r="J2">
        <v>12</v>
      </c>
      <c r="K2" t="s">
        <v>39</v>
      </c>
      <c r="L2" t="str" cm="1">
        <f t="array" ref="L2">_xlfn.IFS(J2&gt;=12,"Very Good",J2&gt;=5,"Good",J2&gt;=4,"Average",J2&gt;=2,"Poor",J2&gt;=1,"Very Poor")</f>
        <v>Very Good</v>
      </c>
    </row>
    <row r="3" spans="1:13" x14ac:dyDescent="0.3">
      <c r="A3">
        <v>2</v>
      </c>
      <c r="B3" t="s">
        <v>30</v>
      </c>
      <c r="C3">
        <v>3</v>
      </c>
      <c r="D3" s="5" cm="1">
        <f t="array" ref="D3">_xlfn.IFS(C3&gt;=10,20%,C3&gt;=5,10%,C3&lt;5,0)</f>
        <v>0</v>
      </c>
      <c r="J3">
        <v>11</v>
      </c>
      <c r="K3" t="s">
        <v>40</v>
      </c>
      <c r="L3" t="str" cm="1">
        <f t="array" ref="L3">_xlfn.IFS(J3&gt;=12,"Very Good",J3&gt;=5,"Good",J3&gt;=4,"Average",J3&gt;=2,"Poor",J3&gt;=1,"Very Poor")</f>
        <v>Good</v>
      </c>
    </row>
    <row r="4" spans="1:13" x14ac:dyDescent="0.3">
      <c r="A4">
        <v>3</v>
      </c>
      <c r="B4" t="s">
        <v>24</v>
      </c>
      <c r="C4">
        <v>11</v>
      </c>
      <c r="D4" s="5" cm="1">
        <f t="array" ref="D4">_xlfn.IFS(C4&gt;=10,20%,C4&gt;=5,10%,C4&lt;5,0)</f>
        <v>0.2</v>
      </c>
      <c r="J4">
        <v>10</v>
      </c>
      <c r="K4" t="s">
        <v>41</v>
      </c>
      <c r="L4" t="str" cm="1">
        <f t="array" ref="L4">_xlfn.IFS(J4&gt;=12,"Very Good",J4&gt;=5,"Good",J4&gt;=4,"Average",J4&gt;=2,"Poor",J4&gt;=1,"Very Poor")</f>
        <v>Good</v>
      </c>
    </row>
    <row r="5" spans="1:13" x14ac:dyDescent="0.3">
      <c r="A5">
        <v>4</v>
      </c>
      <c r="B5" t="s">
        <v>31</v>
      </c>
      <c r="C5">
        <v>6</v>
      </c>
      <c r="D5" s="5" cm="1">
        <f t="array" ref="D5">_xlfn.IFS(C5&gt;=10,20%,C5&gt;=5,10%,C5&lt;5,0)</f>
        <v>0.1</v>
      </c>
      <c r="J5">
        <v>9</v>
      </c>
      <c r="K5" t="s">
        <v>42</v>
      </c>
      <c r="L5" t="str" cm="1">
        <f t="array" ref="L5">_xlfn.IFS(J5&gt;=12,"Very Good",J5&gt;=5,"Good",J5&gt;=4,"Average",J5&gt;=2,"Poor",J5&gt;=1,"Very Poor")</f>
        <v>Good</v>
      </c>
    </row>
    <row r="6" spans="1:13" x14ac:dyDescent="0.3">
      <c r="A6">
        <v>5</v>
      </c>
      <c r="B6" t="s">
        <v>25</v>
      </c>
      <c r="C6">
        <v>7</v>
      </c>
      <c r="D6" s="5" cm="1">
        <f t="array" ref="D6">_xlfn.IFS(C6&gt;=10,20%,C6&gt;=5,10%,C6&lt;5,0)</f>
        <v>0.1</v>
      </c>
      <c r="J6">
        <v>8</v>
      </c>
      <c r="K6" t="s">
        <v>43</v>
      </c>
      <c r="L6" t="str" cm="1">
        <f t="array" ref="L6">_xlfn.IFS(J6&gt;=12,"Very Good",J6&gt;=5,"Good",J6&gt;=4,"Average",J6&gt;=2,"Poor",J6&gt;=1,"Very Poor")</f>
        <v>Good</v>
      </c>
    </row>
    <row r="7" spans="1:13" x14ac:dyDescent="0.3">
      <c r="A7">
        <v>6</v>
      </c>
      <c r="B7" t="s">
        <v>32</v>
      </c>
      <c r="C7">
        <v>4</v>
      </c>
      <c r="D7" s="5" cm="1">
        <f t="array" ref="D7">_xlfn.IFS(C7&gt;=10,20%,C7&gt;=5,10%,C7&lt;5,0)</f>
        <v>0</v>
      </c>
      <c r="J7">
        <v>7</v>
      </c>
      <c r="K7" t="s">
        <v>44</v>
      </c>
      <c r="L7" t="str" cm="1">
        <f t="array" ref="L7">_xlfn.IFS(J7&gt;=12,"Very Good",J7&gt;=5,"Good",J7&gt;=4,"Average",J7&gt;=2,"Poor",J7&gt;=1,"Very Poor")</f>
        <v>Good</v>
      </c>
    </row>
    <row r="8" spans="1:13" x14ac:dyDescent="0.3">
      <c r="J8">
        <v>6</v>
      </c>
      <c r="K8" t="s">
        <v>45</v>
      </c>
      <c r="L8" t="str" cm="1">
        <f t="array" ref="L8">_xlfn.IFS(J8&gt;=12,"Very Good",J8&gt;=5,"Good",J8&gt;=4,"Average",J8&gt;=2,"Poor",J8&gt;=1,"Very Poor")</f>
        <v>Good</v>
      </c>
    </row>
    <row r="9" spans="1:13" x14ac:dyDescent="0.3">
      <c r="J9">
        <v>5</v>
      </c>
      <c r="K9" t="s">
        <v>39</v>
      </c>
      <c r="L9" t="str" cm="1">
        <f t="array" ref="L9">_xlfn.IFS(J9&gt;=12,"Very Good",J9&gt;=5,"Good",J9&gt;=4,"Average",J9&gt;=2,"Poor",J9&gt;=1,"Very Poor")</f>
        <v>Good</v>
      </c>
    </row>
    <row r="10" spans="1:13" x14ac:dyDescent="0.3">
      <c r="J10">
        <v>4</v>
      </c>
      <c r="K10" t="s">
        <v>40</v>
      </c>
      <c r="L10" t="str" cm="1">
        <f t="array" ref="L10">_xlfn.IFS(J10&gt;=12,"Very Good",J10&gt;=5,"Good",J10&gt;=4,"Average",J10&gt;=2,"Poor",J10&gt;=1,"Very Poor")</f>
        <v>Average</v>
      </c>
    </row>
    <row r="11" spans="1:13" x14ac:dyDescent="0.3">
      <c r="J11">
        <v>3</v>
      </c>
      <c r="K11" t="s">
        <v>41</v>
      </c>
      <c r="L11" t="str" cm="1">
        <f t="array" ref="L11">_xlfn.IFS(J11&gt;=12,"Very Good",J11&gt;=5,"Good",J11&gt;=4,"Average",J11&gt;=2,"Poor",J11&gt;=1,"Very Poor")</f>
        <v>Poor</v>
      </c>
    </row>
    <row r="12" spans="1:13" x14ac:dyDescent="0.3">
      <c r="D12" s="14" t="s">
        <v>33</v>
      </c>
      <c r="E12" s="13"/>
      <c r="J12">
        <v>2</v>
      </c>
      <c r="K12" t="s">
        <v>42</v>
      </c>
      <c r="L12" t="str" cm="1">
        <f t="array" ref="L12">_xlfn.IFS(J12&gt;=12,"Very Good",J12&gt;=5,"Good",J12&gt;=4,"Average",J12&gt;=2,"Poor",J12&gt;=1,"Very Poor")</f>
        <v>Poor</v>
      </c>
    </row>
    <row r="13" spans="1:13" x14ac:dyDescent="0.3">
      <c r="D13" s="5" t="s">
        <v>34</v>
      </c>
      <c r="E13" s="6">
        <v>0.2</v>
      </c>
      <c r="J13">
        <v>1</v>
      </c>
      <c r="K13" t="s">
        <v>43</v>
      </c>
      <c r="L13" t="str" cm="1">
        <f t="array" ref="L13">_xlfn.IFS(J13&gt;=12,"Very Good",J13&gt;=5,"Good",J13&gt;=4,"Average",J13&gt;=2,"Poor",J13&gt;=1,"Very Poor")</f>
        <v>Very Poor</v>
      </c>
    </row>
    <row r="14" spans="1:13" x14ac:dyDescent="0.3">
      <c r="D14" s="5" t="s">
        <v>35</v>
      </c>
      <c r="E14" s="6">
        <v>0.1</v>
      </c>
    </row>
    <row r="15" spans="1:13" x14ac:dyDescent="0.3">
      <c r="D15" s="5" t="s">
        <v>36</v>
      </c>
      <c r="E15" s="6">
        <v>0</v>
      </c>
    </row>
    <row r="45" spans="5:5" x14ac:dyDescent="0.3">
      <c r="E45">
        <v>5</v>
      </c>
    </row>
  </sheetData>
  <sortState xmlns:xlrd2="http://schemas.microsoft.com/office/spreadsheetml/2017/richdata2" ref="J2:J13">
    <sortCondition descending="1" ref="J2:J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0011-5313-43B7-96C1-82E813D4CE81}">
  <dimension ref="A1:K26"/>
  <sheetViews>
    <sheetView tabSelected="1" workbookViewId="0">
      <selection activeCell="M17" sqref="M17"/>
    </sheetView>
  </sheetViews>
  <sheetFormatPr defaultRowHeight="14.4" x14ac:dyDescent="0.3"/>
  <cols>
    <col min="1" max="1" width="12.6640625" bestFit="1" customWidth="1"/>
    <col min="2" max="2" width="16" bestFit="1" customWidth="1"/>
    <col min="3" max="5" width="10.33203125" bestFit="1" customWidth="1"/>
    <col min="6" max="6" width="7.77734375" bestFit="1" customWidth="1"/>
    <col min="7" max="7" width="9.109375" style="9" bestFit="1" customWidth="1"/>
  </cols>
  <sheetData>
    <row r="1" spans="1:10" ht="18" x14ac:dyDescent="0.35">
      <c r="A1" s="1" t="s">
        <v>12</v>
      </c>
      <c r="B1" s="1" t="s">
        <v>13</v>
      </c>
      <c r="C1" s="2" t="s">
        <v>14</v>
      </c>
      <c r="D1" s="2" t="s">
        <v>49</v>
      </c>
      <c r="E1" s="2" t="s">
        <v>50</v>
      </c>
      <c r="F1" s="1" t="s">
        <v>15</v>
      </c>
      <c r="G1" s="7" t="s">
        <v>19</v>
      </c>
      <c r="H1" s="1" t="s">
        <v>16</v>
      </c>
      <c r="I1" s="1"/>
      <c r="J1" s="1"/>
    </row>
    <row r="2" spans="1:10" x14ac:dyDescent="0.3">
      <c r="A2" t="s">
        <v>3</v>
      </c>
      <c r="B2" t="s">
        <v>17</v>
      </c>
      <c r="C2" s="3">
        <v>54</v>
      </c>
      <c r="D2" s="3">
        <v>67</v>
      </c>
      <c r="E2" s="3">
        <v>47</v>
      </c>
      <c r="F2" s="3" t="str">
        <f>IF(AND(C2&gt;=45,D2&gt;=45,E2&gt;=45),"Pass","Fail")</f>
        <v>Pass</v>
      </c>
      <c r="G2" s="8">
        <f>SUM(C2:E2)/300*100</f>
        <v>56.000000000000007</v>
      </c>
      <c r="H2" s="4" t="str">
        <f>IF(G2&gt;=90,"A++",IF(G2&gt;=75,"A+",IF(G2&gt;=60,"A",IF(G2&gt;=45,"B",IF(G2&gt;=35,"Fail")))))</f>
        <v>B</v>
      </c>
    </row>
    <row r="3" spans="1:10" x14ac:dyDescent="0.3">
      <c r="A3" t="s">
        <v>4</v>
      </c>
      <c r="B3" t="s">
        <v>18</v>
      </c>
      <c r="C3" s="3">
        <v>74</v>
      </c>
      <c r="D3" s="3">
        <v>56</v>
      </c>
      <c r="E3" s="3">
        <v>22</v>
      </c>
      <c r="F3" s="3" t="str">
        <f t="shared" ref="F3:F18" si="0">IF(AND(C3&gt;=45,D3&gt;=45,E3&gt;=45),"Pass","Fail")</f>
        <v>Fail</v>
      </c>
      <c r="G3" s="8">
        <f t="shared" ref="G3:G18" si="1">SUM(C3:E3)/300*100</f>
        <v>50.666666666666671</v>
      </c>
      <c r="H3" s="4" t="str">
        <f t="shared" ref="H3:H18" si="2">IF(G3&gt;=90,"A++",IF(G3&gt;=75,"A+",IF(G3&gt;=60,"A",IF(G3&gt;=45,"B",IF(G3&gt;=35,"Fail")))))</f>
        <v>B</v>
      </c>
    </row>
    <row r="4" spans="1:10" x14ac:dyDescent="0.3">
      <c r="A4" t="s">
        <v>3</v>
      </c>
      <c r="B4" t="s">
        <v>17</v>
      </c>
      <c r="C4" s="3">
        <v>96</v>
      </c>
      <c r="D4" s="3">
        <v>15</v>
      </c>
      <c r="E4" s="3">
        <v>83</v>
      </c>
      <c r="F4" s="3" t="str">
        <f t="shared" si="0"/>
        <v>Fail</v>
      </c>
      <c r="G4" s="8">
        <f t="shared" si="1"/>
        <v>64.666666666666657</v>
      </c>
      <c r="H4" s="4" t="str">
        <f t="shared" si="2"/>
        <v>A</v>
      </c>
    </row>
    <row r="5" spans="1:10" x14ac:dyDescent="0.3">
      <c r="A5" t="s">
        <v>4</v>
      </c>
      <c r="B5" t="s">
        <v>18</v>
      </c>
      <c r="C5" s="3">
        <v>49</v>
      </c>
      <c r="D5" s="3">
        <v>99</v>
      </c>
      <c r="E5" s="3">
        <v>54</v>
      </c>
      <c r="F5" s="3" t="str">
        <f t="shared" si="0"/>
        <v>Pass</v>
      </c>
      <c r="G5" s="8">
        <f t="shared" si="1"/>
        <v>67.333333333333329</v>
      </c>
      <c r="H5" s="4" t="str">
        <f t="shared" si="2"/>
        <v>A</v>
      </c>
    </row>
    <row r="6" spans="1:10" x14ac:dyDescent="0.3">
      <c r="A6" t="s">
        <v>3</v>
      </c>
      <c r="B6" t="s">
        <v>17</v>
      </c>
      <c r="C6" s="3">
        <v>28</v>
      </c>
      <c r="D6" s="3">
        <v>48</v>
      </c>
      <c r="E6" s="3">
        <v>79</v>
      </c>
      <c r="F6" s="3" t="str">
        <f t="shared" si="0"/>
        <v>Fail</v>
      </c>
      <c r="G6" s="8">
        <f t="shared" si="1"/>
        <v>51.666666666666671</v>
      </c>
      <c r="H6" s="4" t="str">
        <f t="shared" si="2"/>
        <v>B</v>
      </c>
    </row>
    <row r="7" spans="1:10" x14ac:dyDescent="0.3">
      <c r="A7" t="s">
        <v>4</v>
      </c>
      <c r="B7" t="s">
        <v>18</v>
      </c>
      <c r="C7" s="3">
        <v>10</v>
      </c>
      <c r="D7" s="3">
        <v>89</v>
      </c>
      <c r="E7" s="3">
        <v>40</v>
      </c>
      <c r="F7" s="3" t="str">
        <f t="shared" si="0"/>
        <v>Fail</v>
      </c>
      <c r="G7" s="8">
        <f t="shared" si="1"/>
        <v>46.333333333333329</v>
      </c>
      <c r="H7" s="4" t="str">
        <f t="shared" si="2"/>
        <v>B</v>
      </c>
    </row>
    <row r="8" spans="1:10" x14ac:dyDescent="0.3">
      <c r="A8" t="s">
        <v>3</v>
      </c>
      <c r="B8" t="s">
        <v>17</v>
      </c>
      <c r="C8" s="3">
        <v>60</v>
      </c>
      <c r="D8" s="3">
        <v>54</v>
      </c>
      <c r="E8" s="3">
        <v>85</v>
      </c>
      <c r="F8" s="3" t="str">
        <f t="shared" si="0"/>
        <v>Pass</v>
      </c>
      <c r="G8" s="8">
        <f t="shared" si="1"/>
        <v>66.333333333333329</v>
      </c>
      <c r="H8" s="4" t="str">
        <f t="shared" si="2"/>
        <v>A</v>
      </c>
    </row>
    <row r="9" spans="1:10" x14ac:dyDescent="0.3">
      <c r="A9" t="s">
        <v>4</v>
      </c>
      <c r="B9" t="s">
        <v>18</v>
      </c>
      <c r="C9" s="3">
        <v>76</v>
      </c>
      <c r="D9" s="3">
        <v>96</v>
      </c>
      <c r="E9" s="3">
        <v>71</v>
      </c>
      <c r="F9" s="3" t="str">
        <f t="shared" si="0"/>
        <v>Pass</v>
      </c>
      <c r="G9" s="8">
        <f t="shared" si="1"/>
        <v>81</v>
      </c>
      <c r="H9" s="4" t="str">
        <f t="shared" si="2"/>
        <v>A+</v>
      </c>
    </row>
    <row r="10" spans="1:10" x14ac:dyDescent="0.3">
      <c r="A10" t="s">
        <v>3</v>
      </c>
      <c r="B10" t="s">
        <v>17</v>
      </c>
      <c r="C10" s="3">
        <v>45</v>
      </c>
      <c r="D10" s="3">
        <v>46</v>
      </c>
      <c r="E10" s="3">
        <v>48</v>
      </c>
      <c r="F10" s="3" t="str">
        <f t="shared" si="0"/>
        <v>Pass</v>
      </c>
      <c r="G10" s="8">
        <f t="shared" si="1"/>
        <v>46.333333333333329</v>
      </c>
      <c r="H10" s="4" t="str">
        <f t="shared" si="2"/>
        <v>B</v>
      </c>
    </row>
    <row r="11" spans="1:10" x14ac:dyDescent="0.3">
      <c r="A11" t="s">
        <v>4</v>
      </c>
      <c r="B11" t="s">
        <v>18</v>
      </c>
      <c r="C11" s="3">
        <v>80</v>
      </c>
      <c r="D11" s="3">
        <v>66</v>
      </c>
      <c r="E11" s="3">
        <v>56</v>
      </c>
      <c r="F11" s="3" t="str">
        <f t="shared" si="0"/>
        <v>Pass</v>
      </c>
      <c r="G11" s="8">
        <f t="shared" si="1"/>
        <v>67.333333333333329</v>
      </c>
      <c r="H11" s="4" t="str">
        <f t="shared" si="2"/>
        <v>A</v>
      </c>
    </row>
    <row r="12" spans="1:10" x14ac:dyDescent="0.3">
      <c r="A12" t="s">
        <v>3</v>
      </c>
      <c r="B12" t="s">
        <v>17</v>
      </c>
      <c r="C12" s="3">
        <v>52</v>
      </c>
      <c r="D12" s="3">
        <v>62</v>
      </c>
      <c r="E12" s="3">
        <v>47</v>
      </c>
      <c r="F12" s="3" t="str">
        <f t="shared" si="0"/>
        <v>Pass</v>
      </c>
      <c r="G12" s="8">
        <f t="shared" si="1"/>
        <v>53.666666666666664</v>
      </c>
      <c r="H12" s="4" t="str">
        <f t="shared" si="2"/>
        <v>B</v>
      </c>
    </row>
    <row r="13" spans="1:10" x14ac:dyDescent="0.3">
      <c r="A13" t="s">
        <v>4</v>
      </c>
      <c r="B13" t="s">
        <v>18</v>
      </c>
      <c r="C13" s="3">
        <v>89</v>
      </c>
      <c r="D13" s="3">
        <v>53</v>
      </c>
      <c r="E13" s="3">
        <v>22</v>
      </c>
      <c r="F13" s="3" t="str">
        <f t="shared" si="0"/>
        <v>Fail</v>
      </c>
      <c r="G13" s="8">
        <f t="shared" si="1"/>
        <v>54.666666666666664</v>
      </c>
      <c r="H13" s="4" t="str">
        <f t="shared" si="2"/>
        <v>B</v>
      </c>
    </row>
    <row r="14" spans="1:10" x14ac:dyDescent="0.3">
      <c r="A14" t="s">
        <v>3</v>
      </c>
      <c r="B14" t="s">
        <v>17</v>
      </c>
      <c r="C14" s="3">
        <v>40</v>
      </c>
      <c r="D14" s="3">
        <v>78</v>
      </c>
      <c r="E14" s="3">
        <v>49</v>
      </c>
      <c r="F14" s="3" t="str">
        <f t="shared" si="0"/>
        <v>Fail</v>
      </c>
      <c r="G14" s="8">
        <f t="shared" si="1"/>
        <v>55.666666666666664</v>
      </c>
      <c r="H14" s="4" t="str">
        <f t="shared" si="2"/>
        <v>B</v>
      </c>
    </row>
    <row r="15" spans="1:10" x14ac:dyDescent="0.3">
      <c r="A15" t="s">
        <v>4</v>
      </c>
      <c r="B15" t="s">
        <v>18</v>
      </c>
      <c r="C15" s="3">
        <v>82</v>
      </c>
      <c r="D15" s="3">
        <v>20</v>
      </c>
      <c r="E15" s="3">
        <v>73</v>
      </c>
      <c r="F15" s="3" t="str">
        <f t="shared" si="0"/>
        <v>Fail</v>
      </c>
      <c r="G15" s="8">
        <f t="shared" si="1"/>
        <v>58.333333333333336</v>
      </c>
      <c r="H15" s="4" t="str">
        <f t="shared" si="2"/>
        <v>B</v>
      </c>
    </row>
    <row r="16" spans="1:10" x14ac:dyDescent="0.3">
      <c r="A16" t="s">
        <v>3</v>
      </c>
      <c r="B16" t="s">
        <v>17</v>
      </c>
      <c r="C16" s="3">
        <v>52</v>
      </c>
      <c r="D16" s="3">
        <v>46</v>
      </c>
      <c r="E16" s="3">
        <v>58</v>
      </c>
      <c r="F16" s="3" t="str">
        <f t="shared" si="0"/>
        <v>Pass</v>
      </c>
      <c r="G16" s="8">
        <f t="shared" si="1"/>
        <v>52</v>
      </c>
      <c r="H16" s="4" t="str">
        <f t="shared" si="2"/>
        <v>B</v>
      </c>
    </row>
    <row r="17" spans="1:11" x14ac:dyDescent="0.3">
      <c r="A17" t="s">
        <v>4</v>
      </c>
      <c r="B17" t="s">
        <v>18</v>
      </c>
      <c r="C17" s="3">
        <v>21</v>
      </c>
      <c r="D17" s="3">
        <v>69</v>
      </c>
      <c r="E17" s="3">
        <v>40</v>
      </c>
      <c r="F17" s="3" t="str">
        <f t="shared" si="0"/>
        <v>Fail</v>
      </c>
      <c r="G17" s="8">
        <f t="shared" si="1"/>
        <v>43.333333333333336</v>
      </c>
      <c r="H17" s="4" t="str">
        <f t="shared" si="2"/>
        <v>Fail</v>
      </c>
    </row>
    <row r="18" spans="1:11" x14ac:dyDescent="0.3">
      <c r="A18" t="s">
        <v>3</v>
      </c>
      <c r="B18" t="s">
        <v>17</v>
      </c>
      <c r="C18" s="3">
        <v>14</v>
      </c>
      <c r="D18" s="3">
        <v>16</v>
      </c>
      <c r="E18" s="3">
        <v>91</v>
      </c>
      <c r="F18" s="3" t="str">
        <f t="shared" si="0"/>
        <v>Fail</v>
      </c>
      <c r="G18" s="8">
        <f t="shared" si="1"/>
        <v>40.333333333333329</v>
      </c>
      <c r="H18" s="4" t="str">
        <f t="shared" si="2"/>
        <v>Fail</v>
      </c>
    </row>
    <row r="22" spans="1:11" x14ac:dyDescent="0.3">
      <c r="H22" t="s">
        <v>20</v>
      </c>
      <c r="I22" t="s">
        <v>19</v>
      </c>
      <c r="J22">
        <v>90</v>
      </c>
      <c r="K22" t="s">
        <v>21</v>
      </c>
    </row>
    <row r="23" spans="1:11" x14ac:dyDescent="0.3">
      <c r="H23" t="s">
        <v>22</v>
      </c>
      <c r="I23" t="s">
        <v>22</v>
      </c>
      <c r="J23">
        <v>75</v>
      </c>
      <c r="K23" t="s">
        <v>23</v>
      </c>
    </row>
    <row r="24" spans="1:11" x14ac:dyDescent="0.3">
      <c r="J24">
        <v>66</v>
      </c>
      <c r="K24" t="s">
        <v>3</v>
      </c>
    </row>
    <row r="25" spans="1:11" x14ac:dyDescent="0.3">
      <c r="J25">
        <v>45</v>
      </c>
      <c r="K25" t="s">
        <v>4</v>
      </c>
    </row>
    <row r="26" spans="1:11" x14ac:dyDescent="0.3">
      <c r="J26">
        <v>35</v>
      </c>
      <c r="K26" t="s">
        <v>5</v>
      </c>
    </row>
  </sheetData>
  <conditionalFormatting sqref="C1:E18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omkar</dc:creator>
  <cp:lastModifiedBy>omkar omkar</cp:lastModifiedBy>
  <dcterms:created xsi:type="dcterms:W3CDTF">2026-07-24T08:56:15Z</dcterms:created>
  <dcterms:modified xsi:type="dcterms:W3CDTF">2026-07-25T17:08:23Z</dcterms:modified>
</cp:coreProperties>
</file>
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6624ACC6-6F26-49C2-AEC5-298CE4295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sted If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G3" i="1"/>
</calcChain>
</file>

<file path=xl/sharedStrings.xml><?xml version="1.0" encoding="utf-8"?>
<sst xmlns="http://schemas.openxmlformats.org/spreadsheetml/2006/main" count="317" uniqueCount="118">
  <si>
    <t>Date</t>
  </si>
  <si>
    <t>Employee Name</t>
  </si>
  <si>
    <t>Basic Salary</t>
  </si>
  <si>
    <t>Bonus</t>
  </si>
  <si>
    <t>2026-01-01</t>
  </si>
  <si>
    <t>Amit 1</t>
  </si>
  <si>
    <t>2026-01-02</t>
  </si>
  <si>
    <t>Rahul 2</t>
  </si>
  <si>
    <t>2026-01-03</t>
  </si>
  <si>
    <t>Priya 3</t>
  </si>
  <si>
    <t>2026-01-04</t>
  </si>
  <si>
    <t>Neha 4</t>
  </si>
  <si>
    <t>2026-01-05</t>
  </si>
  <si>
    <t>Vikas 5</t>
  </si>
  <si>
    <t>2026-01-06</t>
  </si>
  <si>
    <t>Pooja 6</t>
  </si>
  <si>
    <t>2026-01-07</t>
  </si>
  <si>
    <t>Rohit 7</t>
  </si>
  <si>
    <t>2026-01-08</t>
  </si>
  <si>
    <t>Anjali 8</t>
  </si>
  <si>
    <t>2026-01-09</t>
  </si>
  <si>
    <t>Suresh 9</t>
  </si>
  <si>
    <t>2026-01-10</t>
  </si>
  <si>
    <t>Kiran 10</t>
  </si>
  <si>
    <t>2026-01-11</t>
  </si>
  <si>
    <t>Amit 11</t>
  </si>
  <si>
    <t>2026-01-12</t>
  </si>
  <si>
    <t>Rahul 12</t>
  </si>
  <si>
    <t>2026-01-13</t>
  </si>
  <si>
    <t>Priya 13</t>
  </si>
  <si>
    <t>2026-01-14</t>
  </si>
  <si>
    <t>Neha 14</t>
  </si>
  <si>
    <t>2026-01-15</t>
  </si>
  <si>
    <t>Vikas 15</t>
  </si>
  <si>
    <t>2026-01-16</t>
  </si>
  <si>
    <t>Pooja 16</t>
  </si>
  <si>
    <t>2026-01-17</t>
  </si>
  <si>
    <t>Rohit 17</t>
  </si>
  <si>
    <t>2026-01-18</t>
  </si>
  <si>
    <t>Anjali 18</t>
  </si>
  <si>
    <t>2026-01-19</t>
  </si>
  <si>
    <t>Suresh 19</t>
  </si>
  <si>
    <t>2026-01-20</t>
  </si>
  <si>
    <t>Kiran 20</t>
  </si>
  <si>
    <t>2026-01-21</t>
  </si>
  <si>
    <t>Amit 21</t>
  </si>
  <si>
    <t>2026-01-22</t>
  </si>
  <si>
    <t>Rahul 22</t>
  </si>
  <si>
    <t>2026-01-23</t>
  </si>
  <si>
    <t>Priya 23</t>
  </si>
  <si>
    <t>2026-01-24</t>
  </si>
  <si>
    <t>Neha 24</t>
  </si>
  <si>
    <t>2026-01-25</t>
  </si>
  <si>
    <t>Vikas 25</t>
  </si>
  <si>
    <t>2026-01-26</t>
  </si>
  <si>
    <t>Pooja 26</t>
  </si>
  <si>
    <t>2026-01-27</t>
  </si>
  <si>
    <t>Rohit 27</t>
  </si>
  <si>
    <t>2026-01-28</t>
  </si>
  <si>
    <t>Anjali 28</t>
  </si>
  <si>
    <t>2026-01-29</t>
  </si>
  <si>
    <t>Suresh 29</t>
  </si>
  <si>
    <t>2026-01-30</t>
  </si>
  <si>
    <t>Kiran 30</t>
  </si>
  <si>
    <t>2026-01-31</t>
  </si>
  <si>
    <t>Amit 31</t>
  </si>
  <si>
    <t>2026-02-01</t>
  </si>
  <si>
    <t>Rahul 32</t>
  </si>
  <si>
    <t>2026-02-02</t>
  </si>
  <si>
    <t>Priya 33</t>
  </si>
  <si>
    <t>2026-02-03</t>
  </si>
  <si>
    <t>Neha 34</t>
  </si>
  <si>
    <t>2026-02-04</t>
  </si>
  <si>
    <t>Vikas 35</t>
  </si>
  <si>
    <t>2026-02-05</t>
  </si>
  <si>
    <t>Pooja 36</t>
  </si>
  <si>
    <t>2026-02-06</t>
  </si>
  <si>
    <t>Rohit 37</t>
  </si>
  <si>
    <t>2026-02-07</t>
  </si>
  <si>
    <t>Anjali 38</t>
  </si>
  <si>
    <t>2026-02-08</t>
  </si>
  <si>
    <t>Suresh 39</t>
  </si>
  <si>
    <t>2026-02-09</t>
  </si>
  <si>
    <t>Kiran 40</t>
  </si>
  <si>
    <t>2026-02-10</t>
  </si>
  <si>
    <t>Amit 41</t>
  </si>
  <si>
    <t>2026-02-11</t>
  </si>
  <si>
    <t>Rahul 42</t>
  </si>
  <si>
    <t>2026-02-12</t>
  </si>
  <si>
    <t>Priya 43</t>
  </si>
  <si>
    <t>2026-02-13</t>
  </si>
  <si>
    <t>Neha 44</t>
  </si>
  <si>
    <t>2026-02-14</t>
  </si>
  <si>
    <t>Vikas 45</t>
  </si>
  <si>
    <t>2026-02-15</t>
  </si>
  <si>
    <t>Pooja 46</t>
  </si>
  <si>
    <t>2026-02-16</t>
  </si>
  <si>
    <t>Rohit 47</t>
  </si>
  <si>
    <t>2026-02-17</t>
  </si>
  <si>
    <t>Anjali 48</t>
  </si>
  <si>
    <t>2026-02-18</t>
  </si>
  <si>
    <t>Suresh 49</t>
  </si>
  <si>
    <t>2026-02-19</t>
  </si>
  <si>
    <t>Kiran 50</t>
  </si>
  <si>
    <t>Desination</t>
  </si>
  <si>
    <t>Supervisor</t>
  </si>
  <si>
    <t>Assistant</t>
  </si>
  <si>
    <t>Manajer</t>
  </si>
  <si>
    <t>Clerck</t>
  </si>
  <si>
    <t>poen</t>
  </si>
  <si>
    <t>Md</t>
  </si>
  <si>
    <t>Hed Supervisor</t>
  </si>
  <si>
    <t>Hr</t>
  </si>
  <si>
    <t>hr</t>
  </si>
  <si>
    <t>clerck</t>
  </si>
  <si>
    <t>manajer</t>
  </si>
  <si>
    <t>Poen</t>
  </si>
  <si>
    <t>If And/Or , Nested IF Formulas Base Datatable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</si>
</sst>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8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18.6640625" bestFit="1" customWidth="1"/>
    <col min="3" max="3" width="14.44140625" customWidth="1"/>
    <col min="4" max="4" width="13.5546875" bestFit="1" customWidth="1"/>
    <col min="5" max="5" width="4.5546875" customWidth="1"/>
    <col min="6" max="6" width="14.44140625" customWidth="1"/>
    <col min="8" max="8" width="9.44140625" bestFit="1" customWidth="1"/>
    <col min="9" max="9" width="18.44140625" customWidth="1"/>
    <col min="11" max="11" width="10.33203125" bestFit="1" customWidth="1"/>
    <col min="12" max="12" width="18.6640625" bestFit="1" customWidth="1"/>
    <col min="13" max="13" width="13.21875" bestFit="1" customWidth="1"/>
    <col min="14" max="14" width="13.5546875" bestFit="1" customWidth="1"/>
    <col min="15" max="15" width="7.44140625" bestFit="1" customWidth="1"/>
  </cols>
  <sheetData>
    <row r="1" spans="1:15" ht="18" x14ac:dyDescent="0.35">
      <c r="A1" s="1" t="s">
        <v>0</v>
      </c>
      <c r="B1" s="1" t="s">
        <v>1</v>
      </c>
      <c r="C1" s="1" t="s">
        <v>104</v>
      </c>
      <c r="D1" s="1" t="s">
        <v>2</v>
      </c>
      <c r="E1" s="1" t="s">
        <v>3</v>
      </c>
      <c r="H1" s="2" t="s">
        <v>113</v>
      </c>
      <c r="I1">
        <v>5000</v>
      </c>
      <c r="K1" s="1" t="s">
        <v>0</v>
      </c>
      <c r="L1" s="1" t="s">
        <v>1</v>
      </c>
      <c r="M1" s="1" t="s">
        <v>104</v>
      </c>
      <c r="N1" s="1" t="s">
        <v>2</v>
      </c>
      <c r="O1" s="1" t="s">
        <v>3</v>
      </c>
    </row>
    <row r="2" spans="1:15" x14ac:dyDescent="0.3">
      <c r="A2" t="s">
        <v>4</v>
      </c>
      <c r="B2" t="s">
        <v>5</v>
      </c>
      <c r="C2" t="s">
        <v>112</v>
      </c>
      <c r="D2">
        <v>25000</v>
      </c>
      <c r="E2" t="str">
        <f>IF(OR(C2="Hr",D2&gt;=28000),"Yes","No")</f>
        <v>Yes</v>
      </c>
      <c r="H2" t="s">
        <v>114</v>
      </c>
      <c r="I2">
        <v>4100</v>
      </c>
      <c r="K2" t="s">
        <v>4</v>
      </c>
      <c r="L2" t="s">
        <v>5</v>
      </c>
      <c r="M2" t="s">
        <v>112</v>
      </c>
      <c r="N2">
        <v>25000</v>
      </c>
      <c r="O2">
        <f>IF(M2="Hr",5000,IF(M2="Supervisor",2500,IF(M2="Assistant",3000,IF(M2="Clerck",4100,IF(M2="Manajer",6000,IF(M2="Poen",2000,IF(M2="Md",7000,2100)))))))</f>
        <v>5000</v>
      </c>
    </row>
    <row r="3" spans="1:15" x14ac:dyDescent="0.3">
      <c r="A3" t="s">
        <v>6</v>
      </c>
      <c r="B3" t="s">
        <v>7</v>
      </c>
      <c r="C3" t="s">
        <v>105</v>
      </c>
      <c r="D3">
        <v>26500</v>
      </c>
      <c r="E3" t="str">
        <f t="shared" ref="E3:E51" si="0">IF(OR(C3="Hr",D3&gt;=28000),"Yes","No")</f>
        <v>No</v>
      </c>
      <c r="G3" t="str">
        <f>TRIM(C2)</f>
        <v>Hr</v>
      </c>
      <c r="H3" t="s">
        <v>106</v>
      </c>
      <c r="I3">
        <v>3000</v>
      </c>
      <c r="K3" t="s">
        <v>6</v>
      </c>
      <c r="L3" t="s">
        <v>7</v>
      </c>
      <c r="M3" t="s">
        <v>105</v>
      </c>
      <c r="N3">
        <v>26500</v>
      </c>
      <c r="O3">
        <f t="shared" ref="O3:O51" si="1">IF(M3="Hr",5000,IF(M3="Supervisor",2500,IF(M3="Assistant",3000,IF(M3="Clerck",4100,IF(M3="Manajer",6000,IF(M3="Poen",2000,IF(M3="Md",7000,2100)))))))</f>
        <v>2500</v>
      </c>
    </row>
    <row r="4" spans="1:15" x14ac:dyDescent="0.3">
      <c r="A4" t="s">
        <v>8</v>
      </c>
      <c r="B4" t="s">
        <v>9</v>
      </c>
      <c r="C4" t="s">
        <v>106</v>
      </c>
      <c r="D4">
        <v>28000</v>
      </c>
      <c r="E4" t="str">
        <f t="shared" si="0"/>
        <v>Yes</v>
      </c>
      <c r="H4" t="s">
        <v>105</v>
      </c>
      <c r="I4">
        <v>2500</v>
      </c>
      <c r="K4" t="s">
        <v>8</v>
      </c>
      <c r="L4" t="s">
        <v>9</v>
      </c>
      <c r="M4" t="s">
        <v>106</v>
      </c>
      <c r="N4">
        <v>28000</v>
      </c>
      <c r="O4">
        <f t="shared" si="1"/>
        <v>3000</v>
      </c>
    </row>
    <row r="5" spans="1:15" x14ac:dyDescent="0.3">
      <c r="A5" t="s">
        <v>10</v>
      </c>
      <c r="B5" t="s">
        <v>11</v>
      </c>
      <c r="C5" t="s">
        <v>107</v>
      </c>
      <c r="D5">
        <v>29500</v>
      </c>
      <c r="E5" t="str">
        <f t="shared" si="0"/>
        <v>Yes</v>
      </c>
      <c r="H5" t="s">
        <v>115</v>
      </c>
      <c r="I5">
        <v>6000</v>
      </c>
      <c r="K5" t="s">
        <v>10</v>
      </c>
      <c r="L5" t="s">
        <v>11</v>
      </c>
      <c r="M5" t="s">
        <v>107</v>
      </c>
      <c r="N5">
        <v>29500</v>
      </c>
      <c r="O5">
        <f t="shared" si="1"/>
        <v>6000</v>
      </c>
    </row>
    <row r="6" spans="1:15" x14ac:dyDescent="0.3">
      <c r="A6" t="s">
        <v>12</v>
      </c>
      <c r="B6" t="s">
        <v>13</v>
      </c>
      <c r="C6" t="s">
        <v>108</v>
      </c>
      <c r="D6">
        <v>31000</v>
      </c>
      <c r="E6" t="str">
        <f t="shared" si="0"/>
        <v>Yes</v>
      </c>
      <c r="H6" t="s">
        <v>116</v>
      </c>
      <c r="I6">
        <v>2000</v>
      </c>
      <c r="K6" t="s">
        <v>12</v>
      </c>
      <c r="L6" t="s">
        <v>13</v>
      </c>
      <c r="M6" t="s">
        <v>108</v>
      </c>
      <c r="N6">
        <v>31000</v>
      </c>
      <c r="O6">
        <f t="shared" si="1"/>
        <v>4100</v>
      </c>
    </row>
    <row r="7" spans="1:15" x14ac:dyDescent="0.3">
      <c r="A7" t="s">
        <v>14</v>
      </c>
      <c r="B7" t="s">
        <v>15</v>
      </c>
      <c r="C7" t="s">
        <v>109</v>
      </c>
      <c r="D7">
        <v>32500</v>
      </c>
      <c r="E7" t="str">
        <f t="shared" si="0"/>
        <v>Yes</v>
      </c>
      <c r="K7" t="s">
        <v>14</v>
      </c>
      <c r="L7" t="s">
        <v>15</v>
      </c>
      <c r="M7" t="s">
        <v>109</v>
      </c>
      <c r="N7">
        <v>32500</v>
      </c>
      <c r="O7">
        <f t="shared" si="1"/>
        <v>2000</v>
      </c>
    </row>
    <row r="8" spans="1:15" x14ac:dyDescent="0.3">
      <c r="A8" t="s">
        <v>16</v>
      </c>
      <c r="B8" t="s">
        <v>17</v>
      </c>
      <c r="C8" t="s">
        <v>110</v>
      </c>
      <c r="D8">
        <v>34000</v>
      </c>
      <c r="E8" t="str">
        <f t="shared" si="0"/>
        <v>Yes</v>
      </c>
      <c r="K8" t="s">
        <v>16</v>
      </c>
      <c r="L8" t="s">
        <v>17</v>
      </c>
      <c r="M8" t="s">
        <v>110</v>
      </c>
      <c r="N8">
        <v>34000</v>
      </c>
      <c r="O8">
        <f t="shared" si="1"/>
        <v>7000</v>
      </c>
    </row>
    <row r="9" spans="1:15" x14ac:dyDescent="0.3">
      <c r="A9" t="s">
        <v>18</v>
      </c>
      <c r="B9" t="s">
        <v>19</v>
      </c>
      <c r="C9" t="s">
        <v>111</v>
      </c>
      <c r="D9">
        <v>35500</v>
      </c>
      <c r="E9" t="str">
        <f t="shared" si="0"/>
        <v>Yes</v>
      </c>
      <c r="K9" t="s">
        <v>18</v>
      </c>
      <c r="L9" t="s">
        <v>19</v>
      </c>
      <c r="M9" t="s">
        <v>111</v>
      </c>
      <c r="N9">
        <v>35500</v>
      </c>
      <c r="O9">
        <f t="shared" si="1"/>
        <v>2100</v>
      </c>
    </row>
    <row r="10" spans="1:15" x14ac:dyDescent="0.3">
      <c r="A10" t="s">
        <v>20</v>
      </c>
      <c r="B10" t="s">
        <v>21</v>
      </c>
      <c r="C10" t="s">
        <v>112</v>
      </c>
      <c r="D10">
        <v>20000</v>
      </c>
      <c r="E10" t="str">
        <f t="shared" si="0"/>
        <v>Yes</v>
      </c>
      <c r="K10" t="s">
        <v>20</v>
      </c>
      <c r="L10" t="s">
        <v>21</v>
      </c>
      <c r="M10" t="s">
        <v>112</v>
      </c>
      <c r="N10">
        <v>20000</v>
      </c>
      <c r="O10">
        <f t="shared" si="1"/>
        <v>5000</v>
      </c>
    </row>
    <row r="11" spans="1:15" x14ac:dyDescent="0.3">
      <c r="A11" t="s">
        <v>22</v>
      </c>
      <c r="B11" t="s">
        <v>23</v>
      </c>
      <c r="C11" t="s">
        <v>105</v>
      </c>
      <c r="D11">
        <v>38500</v>
      </c>
      <c r="E11" t="str">
        <f t="shared" si="0"/>
        <v>Yes</v>
      </c>
      <c r="K11" t="s">
        <v>22</v>
      </c>
      <c r="L11" t="s">
        <v>23</v>
      </c>
      <c r="M11" t="s">
        <v>105</v>
      </c>
      <c r="N11">
        <v>38500</v>
      </c>
      <c r="O11">
        <f t="shared" si="1"/>
        <v>2500</v>
      </c>
    </row>
    <row r="12" spans="1:15" x14ac:dyDescent="0.3">
      <c r="A12" t="s">
        <v>24</v>
      </c>
      <c r="B12" t="s">
        <v>25</v>
      </c>
      <c r="C12" t="s">
        <v>106</v>
      </c>
      <c r="D12">
        <v>25000</v>
      </c>
      <c r="E12" t="str">
        <f t="shared" si="0"/>
        <v>No</v>
      </c>
      <c r="K12" t="s">
        <v>24</v>
      </c>
      <c r="L12" t="s">
        <v>25</v>
      </c>
      <c r="M12" t="s">
        <v>106</v>
      </c>
      <c r="N12">
        <v>25000</v>
      </c>
      <c r="O12">
        <f t="shared" si="1"/>
        <v>3000</v>
      </c>
    </row>
    <row r="13" spans="1:15" x14ac:dyDescent="0.3">
      <c r="A13" t="s">
        <v>26</v>
      </c>
      <c r="B13" t="s">
        <v>27</v>
      </c>
      <c r="C13" t="s">
        <v>107</v>
      </c>
      <c r="D13">
        <v>26500</v>
      </c>
      <c r="E13" t="str">
        <f t="shared" si="0"/>
        <v>No</v>
      </c>
      <c r="F13" s="3" t="s">
        <v>117</v>
      </c>
      <c r="G13" s="3"/>
      <c r="H13" s="3"/>
      <c r="I13" s="3"/>
      <c r="K13" t="s">
        <v>26</v>
      </c>
      <c r="L13" t="s">
        <v>27</v>
      </c>
      <c r="M13" t="s">
        <v>107</v>
      </c>
      <c r="N13">
        <v>26500</v>
      </c>
      <c r="O13">
        <f t="shared" si="1"/>
        <v>6000</v>
      </c>
    </row>
    <row r="14" spans="1:15" x14ac:dyDescent="0.3">
      <c r="A14" t="s">
        <v>28</v>
      </c>
      <c r="B14" t="s">
        <v>29</v>
      </c>
      <c r="C14" t="s">
        <v>108</v>
      </c>
      <c r="D14">
        <v>28000</v>
      </c>
      <c r="E14" t="str">
        <f t="shared" si="0"/>
        <v>Yes</v>
      </c>
      <c r="F14" s="3"/>
      <c r="G14" s="3"/>
      <c r="H14" s="3"/>
      <c r="I14" s="3"/>
      <c r="K14" t="s">
        <v>28</v>
      </c>
      <c r="L14" t="s">
        <v>29</v>
      </c>
      <c r="M14" t="s">
        <v>108</v>
      </c>
      <c r="N14">
        <v>28000</v>
      </c>
      <c r="O14">
        <f t="shared" si="1"/>
        <v>4100</v>
      </c>
    </row>
    <row r="15" spans="1:15" x14ac:dyDescent="0.3">
      <c r="A15" t="s">
        <v>30</v>
      </c>
      <c r="B15" t="s">
        <v>31</v>
      </c>
      <c r="C15" t="s">
        <v>109</v>
      </c>
      <c r="D15">
        <v>29500</v>
      </c>
      <c r="E15" t="str">
        <f t="shared" si="0"/>
        <v>Yes</v>
      </c>
      <c r="F15" s="3"/>
      <c r="G15" s="3"/>
      <c r="H15" s="3"/>
      <c r="I15" s="3"/>
      <c r="K15" t="s">
        <v>30</v>
      </c>
      <c r="L15" t="s">
        <v>31</v>
      </c>
      <c r="M15" t="s">
        <v>109</v>
      </c>
      <c r="N15">
        <v>29500</v>
      </c>
      <c r="O15">
        <f t="shared" si="1"/>
        <v>2000</v>
      </c>
    </row>
    <row r="16" spans="1:15" x14ac:dyDescent="0.3">
      <c r="A16" t="s">
        <v>32</v>
      </c>
      <c r="B16" t="s">
        <v>33</v>
      </c>
      <c r="C16" t="s">
        <v>110</v>
      </c>
      <c r="D16">
        <v>31000</v>
      </c>
      <c r="E16" t="str">
        <f t="shared" si="0"/>
        <v>Yes</v>
      </c>
      <c r="K16" t="s">
        <v>32</v>
      </c>
      <c r="L16" t="s">
        <v>33</v>
      </c>
      <c r="M16" t="s">
        <v>110</v>
      </c>
      <c r="N16">
        <v>31000</v>
      </c>
      <c r="O16">
        <f t="shared" si="1"/>
        <v>7000</v>
      </c>
    </row>
    <row r="17" spans="1:15" x14ac:dyDescent="0.3">
      <c r="A17" t="s">
        <v>34</v>
      </c>
      <c r="B17" t="s">
        <v>35</v>
      </c>
      <c r="C17" t="s">
        <v>111</v>
      </c>
      <c r="D17">
        <v>32500</v>
      </c>
      <c r="E17" t="str">
        <f t="shared" si="0"/>
        <v>Yes</v>
      </c>
      <c r="K17" t="s">
        <v>34</v>
      </c>
      <c r="L17" t="s">
        <v>35</v>
      </c>
      <c r="M17" t="s">
        <v>111</v>
      </c>
      <c r="N17">
        <v>32500</v>
      </c>
      <c r="O17">
        <f t="shared" si="1"/>
        <v>2100</v>
      </c>
    </row>
    <row r="18" spans="1:15" x14ac:dyDescent="0.3">
      <c r="A18" t="s">
        <v>36</v>
      </c>
      <c r="B18" t="s">
        <v>37</v>
      </c>
      <c r="C18" t="s">
        <v>112</v>
      </c>
      <c r="D18">
        <v>34000</v>
      </c>
      <c r="E18" t="str">
        <f t="shared" si="0"/>
        <v>Yes</v>
      </c>
      <c r="K18" t="s">
        <v>36</v>
      </c>
      <c r="L18" t="s">
        <v>37</v>
      </c>
      <c r="M18" t="s">
        <v>112</v>
      </c>
      <c r="N18">
        <v>34000</v>
      </c>
      <c r="O18">
        <f t="shared" si="1"/>
        <v>5000</v>
      </c>
    </row>
    <row r="19" spans="1:15" x14ac:dyDescent="0.3">
      <c r="A19" t="s">
        <v>38</v>
      </c>
      <c r="B19" t="s">
        <v>39</v>
      </c>
      <c r="C19" t="s">
        <v>105</v>
      </c>
      <c r="D19">
        <v>35500</v>
      </c>
      <c r="E19" t="str">
        <f t="shared" si="0"/>
        <v>Yes</v>
      </c>
      <c r="K19" t="s">
        <v>38</v>
      </c>
      <c r="L19" t="s">
        <v>39</v>
      </c>
      <c r="M19" t="s">
        <v>105</v>
      </c>
      <c r="N19">
        <v>35500</v>
      </c>
      <c r="O19">
        <f t="shared" si="1"/>
        <v>2500</v>
      </c>
    </row>
    <row r="20" spans="1:15" x14ac:dyDescent="0.3">
      <c r="A20" t="s">
        <v>40</v>
      </c>
      <c r="B20" t="s">
        <v>41</v>
      </c>
      <c r="C20" t="s">
        <v>106</v>
      </c>
      <c r="D20">
        <v>37000</v>
      </c>
      <c r="E20" t="str">
        <f t="shared" si="0"/>
        <v>Yes</v>
      </c>
      <c r="K20" t="s">
        <v>40</v>
      </c>
      <c r="L20" t="s">
        <v>41</v>
      </c>
      <c r="M20" t="s">
        <v>106</v>
      </c>
      <c r="N20">
        <v>37000</v>
      </c>
      <c r="O20">
        <f t="shared" si="1"/>
        <v>3000</v>
      </c>
    </row>
    <row r="21" spans="1:15" x14ac:dyDescent="0.3">
      <c r="A21" t="s">
        <v>42</v>
      </c>
      <c r="B21" t="s">
        <v>43</v>
      </c>
      <c r="C21" t="s">
        <v>107</v>
      </c>
      <c r="D21">
        <v>38500</v>
      </c>
      <c r="E21" t="str">
        <f t="shared" si="0"/>
        <v>Yes</v>
      </c>
      <c r="K21" t="s">
        <v>42</v>
      </c>
      <c r="L21" t="s">
        <v>43</v>
      </c>
      <c r="M21" t="s">
        <v>107</v>
      </c>
      <c r="N21">
        <v>38500</v>
      </c>
      <c r="O21">
        <f t="shared" si="1"/>
        <v>6000</v>
      </c>
    </row>
    <row r="22" spans="1:15" x14ac:dyDescent="0.3">
      <c r="A22" t="s">
        <v>44</v>
      </c>
      <c r="B22" t="s">
        <v>45</v>
      </c>
      <c r="C22" t="s">
        <v>108</v>
      </c>
      <c r="D22">
        <v>25000</v>
      </c>
      <c r="E22" t="str">
        <f t="shared" si="0"/>
        <v>No</v>
      </c>
      <c r="K22" t="s">
        <v>44</v>
      </c>
      <c r="L22" t="s">
        <v>45</v>
      </c>
      <c r="M22" t="s">
        <v>108</v>
      </c>
      <c r="N22">
        <v>25000</v>
      </c>
      <c r="O22">
        <f t="shared" si="1"/>
        <v>4100</v>
      </c>
    </row>
    <row r="23" spans="1:15" x14ac:dyDescent="0.3">
      <c r="A23" t="s">
        <v>46</v>
      </c>
      <c r="B23" t="s">
        <v>47</v>
      </c>
      <c r="C23" t="s">
        <v>109</v>
      </c>
      <c r="D23">
        <v>26500</v>
      </c>
      <c r="E23" t="str">
        <f t="shared" si="0"/>
        <v>No</v>
      </c>
      <c r="K23" t="s">
        <v>46</v>
      </c>
      <c r="L23" t="s">
        <v>47</v>
      </c>
      <c r="M23" t="s">
        <v>109</v>
      </c>
      <c r="N23">
        <v>26500</v>
      </c>
      <c r="O23">
        <f t="shared" si="1"/>
        <v>2000</v>
      </c>
    </row>
    <row r="24" spans="1:15" x14ac:dyDescent="0.3">
      <c r="A24" t="s">
        <v>48</v>
      </c>
      <c r="B24" t="s">
        <v>49</v>
      </c>
      <c r="C24" t="s">
        <v>110</v>
      </c>
      <c r="D24">
        <v>28000</v>
      </c>
      <c r="E24" t="str">
        <f t="shared" si="0"/>
        <v>Yes</v>
      </c>
      <c r="K24" t="s">
        <v>48</v>
      </c>
      <c r="L24" t="s">
        <v>49</v>
      </c>
      <c r="M24" t="s">
        <v>110</v>
      </c>
      <c r="N24">
        <v>28000</v>
      </c>
      <c r="O24">
        <f t="shared" si="1"/>
        <v>7000</v>
      </c>
    </row>
    <row r="25" spans="1:15" x14ac:dyDescent="0.3">
      <c r="A25" t="s">
        <v>50</v>
      </c>
      <c r="B25" t="s">
        <v>51</v>
      </c>
      <c r="C25" t="s">
        <v>111</v>
      </c>
      <c r="D25">
        <v>29500</v>
      </c>
      <c r="E25" t="str">
        <f t="shared" si="0"/>
        <v>Yes</v>
      </c>
      <c r="K25" t="s">
        <v>50</v>
      </c>
      <c r="L25" t="s">
        <v>51</v>
      </c>
      <c r="M25" t="s">
        <v>111</v>
      </c>
      <c r="N25">
        <v>29500</v>
      </c>
      <c r="O25">
        <f t="shared" si="1"/>
        <v>2100</v>
      </c>
    </row>
    <row r="26" spans="1:15" x14ac:dyDescent="0.3">
      <c r="A26" t="s">
        <v>52</v>
      </c>
      <c r="B26" t="s">
        <v>53</v>
      </c>
      <c r="C26" t="s">
        <v>112</v>
      </c>
      <c r="D26">
        <v>31000</v>
      </c>
      <c r="E26" t="str">
        <f t="shared" si="0"/>
        <v>Yes</v>
      </c>
      <c r="K26" t="s">
        <v>52</v>
      </c>
      <c r="L26" t="s">
        <v>53</v>
      </c>
      <c r="M26" t="s">
        <v>112</v>
      </c>
      <c r="N26">
        <v>31000</v>
      </c>
      <c r="O26">
        <f t="shared" si="1"/>
        <v>5000</v>
      </c>
    </row>
    <row r="27" spans="1:15" x14ac:dyDescent="0.3">
      <c r="A27" t="s">
        <v>54</v>
      </c>
      <c r="B27" t="s">
        <v>55</v>
      </c>
      <c r="C27" t="s">
        <v>105</v>
      </c>
      <c r="D27">
        <v>32500</v>
      </c>
      <c r="E27" t="str">
        <f t="shared" si="0"/>
        <v>Yes</v>
      </c>
      <c r="K27" t="s">
        <v>54</v>
      </c>
      <c r="L27" t="s">
        <v>55</v>
      </c>
      <c r="M27" t="s">
        <v>105</v>
      </c>
      <c r="N27">
        <v>32500</v>
      </c>
      <c r="O27">
        <f t="shared" si="1"/>
        <v>2500</v>
      </c>
    </row>
    <row r="28" spans="1:15" x14ac:dyDescent="0.3">
      <c r="A28" t="s">
        <v>56</v>
      </c>
      <c r="B28" t="s">
        <v>57</v>
      </c>
      <c r="C28" t="s">
        <v>106</v>
      </c>
      <c r="D28">
        <v>34000</v>
      </c>
      <c r="E28" t="str">
        <f t="shared" si="0"/>
        <v>Yes</v>
      </c>
      <c r="K28" t="s">
        <v>56</v>
      </c>
      <c r="L28" t="s">
        <v>57</v>
      </c>
      <c r="M28" t="s">
        <v>106</v>
      </c>
      <c r="N28">
        <v>34000</v>
      </c>
      <c r="O28">
        <f t="shared" si="1"/>
        <v>3000</v>
      </c>
    </row>
    <row r="29" spans="1:15" x14ac:dyDescent="0.3">
      <c r="A29" t="s">
        <v>58</v>
      </c>
      <c r="B29" t="s">
        <v>59</v>
      </c>
      <c r="C29" t="s">
        <v>107</v>
      </c>
      <c r="D29">
        <v>35500</v>
      </c>
      <c r="E29" t="str">
        <f t="shared" si="0"/>
        <v>Yes</v>
      </c>
      <c r="K29" t="s">
        <v>58</v>
      </c>
      <c r="L29" t="s">
        <v>59</v>
      </c>
      <c r="M29" t="s">
        <v>107</v>
      </c>
      <c r="N29">
        <v>35500</v>
      </c>
      <c r="O29">
        <f t="shared" si="1"/>
        <v>6000</v>
      </c>
    </row>
    <row r="30" spans="1:15" x14ac:dyDescent="0.3">
      <c r="A30" t="s">
        <v>60</v>
      </c>
      <c r="B30" t="s">
        <v>61</v>
      </c>
      <c r="C30" t="s">
        <v>108</v>
      </c>
      <c r="D30">
        <v>37000</v>
      </c>
      <c r="E30" t="str">
        <f t="shared" si="0"/>
        <v>Yes</v>
      </c>
      <c r="K30" t="s">
        <v>60</v>
      </c>
      <c r="L30" t="s">
        <v>61</v>
      </c>
      <c r="M30" t="s">
        <v>108</v>
      </c>
      <c r="N30">
        <v>37000</v>
      </c>
      <c r="O30">
        <f t="shared" si="1"/>
        <v>4100</v>
      </c>
    </row>
    <row r="31" spans="1:15" x14ac:dyDescent="0.3">
      <c r="A31" t="s">
        <v>62</v>
      </c>
      <c r="B31" t="s">
        <v>63</v>
      </c>
      <c r="C31" t="s">
        <v>109</v>
      </c>
      <c r="D31">
        <v>38500</v>
      </c>
      <c r="E31" t="str">
        <f t="shared" si="0"/>
        <v>Yes</v>
      </c>
      <c r="K31" t="s">
        <v>62</v>
      </c>
      <c r="L31" t="s">
        <v>63</v>
      </c>
      <c r="M31" t="s">
        <v>109</v>
      </c>
      <c r="N31">
        <v>38500</v>
      </c>
      <c r="O31">
        <f t="shared" si="1"/>
        <v>2000</v>
      </c>
    </row>
    <row r="32" spans="1:15" x14ac:dyDescent="0.3">
      <c r="A32" t="s">
        <v>64</v>
      </c>
      <c r="B32" t="s">
        <v>65</v>
      </c>
      <c r="C32" t="s">
        <v>110</v>
      </c>
      <c r="D32">
        <v>25000</v>
      </c>
      <c r="E32" t="str">
        <f t="shared" si="0"/>
        <v>No</v>
      </c>
      <c r="K32" t="s">
        <v>64</v>
      </c>
      <c r="L32" t="s">
        <v>65</v>
      </c>
      <c r="M32" t="s">
        <v>110</v>
      </c>
      <c r="N32">
        <v>25000</v>
      </c>
      <c r="O32">
        <f t="shared" si="1"/>
        <v>7000</v>
      </c>
    </row>
    <row r="33" spans="1:15" x14ac:dyDescent="0.3">
      <c r="A33" t="s">
        <v>66</v>
      </c>
      <c r="B33" t="s">
        <v>67</v>
      </c>
      <c r="C33" t="s">
        <v>111</v>
      </c>
      <c r="D33">
        <v>26500</v>
      </c>
      <c r="E33" t="str">
        <f t="shared" si="0"/>
        <v>No</v>
      </c>
      <c r="K33" t="s">
        <v>66</v>
      </c>
      <c r="L33" t="s">
        <v>67</v>
      </c>
      <c r="M33" t="s">
        <v>111</v>
      </c>
      <c r="N33">
        <v>26500</v>
      </c>
      <c r="O33">
        <f t="shared" si="1"/>
        <v>2100</v>
      </c>
    </row>
    <row r="34" spans="1:15" x14ac:dyDescent="0.3">
      <c r="A34" t="s">
        <v>68</v>
      </c>
      <c r="B34" t="s">
        <v>69</v>
      </c>
      <c r="C34" t="s">
        <v>112</v>
      </c>
      <c r="D34">
        <v>28000</v>
      </c>
      <c r="E34" t="str">
        <f t="shared" si="0"/>
        <v>Yes</v>
      </c>
      <c r="K34" t="s">
        <v>68</v>
      </c>
      <c r="L34" t="s">
        <v>69</v>
      </c>
      <c r="M34" t="s">
        <v>112</v>
      </c>
      <c r="N34">
        <v>28000</v>
      </c>
      <c r="O34">
        <f t="shared" si="1"/>
        <v>5000</v>
      </c>
    </row>
    <row r="35" spans="1:15" x14ac:dyDescent="0.3">
      <c r="A35" t="s">
        <v>70</v>
      </c>
      <c r="B35" t="s">
        <v>71</v>
      </c>
      <c r="C35" t="s">
        <v>105</v>
      </c>
      <c r="D35">
        <v>29500</v>
      </c>
      <c r="E35" t="str">
        <f t="shared" si="0"/>
        <v>Yes</v>
      </c>
      <c r="K35" t="s">
        <v>70</v>
      </c>
      <c r="L35" t="s">
        <v>71</v>
      </c>
      <c r="M35" t="s">
        <v>105</v>
      </c>
      <c r="N35">
        <v>29500</v>
      </c>
      <c r="O35">
        <f t="shared" si="1"/>
        <v>2500</v>
      </c>
    </row>
    <row r="36" spans="1:15" x14ac:dyDescent="0.3">
      <c r="A36" t="s">
        <v>72</v>
      </c>
      <c r="B36" t="s">
        <v>73</v>
      </c>
      <c r="C36" t="s">
        <v>106</v>
      </c>
      <c r="D36">
        <v>31000</v>
      </c>
      <c r="E36" t="str">
        <f t="shared" si="0"/>
        <v>Yes</v>
      </c>
      <c r="K36" t="s">
        <v>72</v>
      </c>
      <c r="L36" t="s">
        <v>73</v>
      </c>
      <c r="M36" t="s">
        <v>106</v>
      </c>
      <c r="N36">
        <v>31000</v>
      </c>
      <c r="O36">
        <f t="shared" si="1"/>
        <v>3000</v>
      </c>
    </row>
    <row r="37" spans="1:15" x14ac:dyDescent="0.3">
      <c r="A37" t="s">
        <v>74</v>
      </c>
      <c r="B37" t="s">
        <v>75</v>
      </c>
      <c r="C37" t="s">
        <v>107</v>
      </c>
      <c r="D37">
        <v>32500</v>
      </c>
      <c r="E37" t="str">
        <f t="shared" si="0"/>
        <v>Yes</v>
      </c>
      <c r="K37" t="s">
        <v>74</v>
      </c>
      <c r="L37" t="s">
        <v>75</v>
      </c>
      <c r="M37" t="s">
        <v>107</v>
      </c>
      <c r="N37">
        <v>32500</v>
      </c>
      <c r="O37">
        <f t="shared" si="1"/>
        <v>6000</v>
      </c>
    </row>
    <row r="38" spans="1:15" x14ac:dyDescent="0.3">
      <c r="A38" t="s">
        <v>76</v>
      </c>
      <c r="B38" t="s">
        <v>77</v>
      </c>
      <c r="C38" t="s">
        <v>108</v>
      </c>
      <c r="D38">
        <v>34000</v>
      </c>
      <c r="E38" t="str">
        <f t="shared" si="0"/>
        <v>Yes</v>
      </c>
      <c r="K38" t="s">
        <v>76</v>
      </c>
      <c r="L38" t="s">
        <v>77</v>
      </c>
      <c r="M38" t="s">
        <v>108</v>
      </c>
      <c r="N38">
        <v>34000</v>
      </c>
      <c r="O38">
        <f t="shared" si="1"/>
        <v>4100</v>
      </c>
    </row>
    <row r="39" spans="1:15" x14ac:dyDescent="0.3">
      <c r="A39" t="s">
        <v>78</v>
      </c>
      <c r="B39" t="s">
        <v>79</v>
      </c>
      <c r="C39" t="s">
        <v>109</v>
      </c>
      <c r="D39">
        <v>35500</v>
      </c>
      <c r="E39" t="str">
        <f t="shared" si="0"/>
        <v>Yes</v>
      </c>
      <c r="K39" t="s">
        <v>78</v>
      </c>
      <c r="L39" t="s">
        <v>79</v>
      </c>
      <c r="M39" t="s">
        <v>109</v>
      </c>
      <c r="N39">
        <v>35500</v>
      </c>
      <c r="O39">
        <f t="shared" si="1"/>
        <v>2000</v>
      </c>
    </row>
    <row r="40" spans="1:15" x14ac:dyDescent="0.3">
      <c r="A40" t="s">
        <v>80</v>
      </c>
      <c r="B40" t="s">
        <v>81</v>
      </c>
      <c r="C40" t="s">
        <v>110</v>
      </c>
      <c r="D40">
        <v>37000</v>
      </c>
      <c r="E40" t="str">
        <f t="shared" si="0"/>
        <v>Yes</v>
      </c>
      <c r="K40" t="s">
        <v>80</v>
      </c>
      <c r="L40" t="s">
        <v>81</v>
      </c>
      <c r="M40" t="s">
        <v>110</v>
      </c>
      <c r="N40">
        <v>37000</v>
      </c>
      <c r="O40">
        <f t="shared" si="1"/>
        <v>7000</v>
      </c>
    </row>
    <row r="41" spans="1:15" x14ac:dyDescent="0.3">
      <c r="A41" t="s">
        <v>82</v>
      </c>
      <c r="B41" t="s">
        <v>83</v>
      </c>
      <c r="C41" t="s">
        <v>111</v>
      </c>
      <c r="D41">
        <v>38500</v>
      </c>
      <c r="E41" t="str">
        <f t="shared" si="0"/>
        <v>Yes</v>
      </c>
      <c r="K41" t="s">
        <v>82</v>
      </c>
      <c r="L41" t="s">
        <v>83</v>
      </c>
      <c r="M41" t="s">
        <v>111</v>
      </c>
      <c r="N41">
        <v>38500</v>
      </c>
      <c r="O41">
        <f t="shared" si="1"/>
        <v>2100</v>
      </c>
    </row>
    <row r="42" spans="1:15" x14ac:dyDescent="0.3">
      <c r="A42" t="s">
        <v>84</v>
      </c>
      <c r="B42" t="s">
        <v>85</v>
      </c>
      <c r="C42" t="s">
        <v>112</v>
      </c>
      <c r="D42">
        <v>25000</v>
      </c>
      <c r="E42" t="str">
        <f t="shared" si="0"/>
        <v>Yes</v>
      </c>
      <c r="K42" t="s">
        <v>84</v>
      </c>
      <c r="L42" t="s">
        <v>85</v>
      </c>
      <c r="M42" t="s">
        <v>112</v>
      </c>
      <c r="N42">
        <v>25000</v>
      </c>
      <c r="O42">
        <f t="shared" si="1"/>
        <v>5000</v>
      </c>
    </row>
    <row r="43" spans="1:15" x14ac:dyDescent="0.3">
      <c r="A43" t="s">
        <v>86</v>
      </c>
      <c r="B43" t="s">
        <v>87</v>
      </c>
      <c r="C43" t="s">
        <v>105</v>
      </c>
      <c r="D43">
        <v>26500</v>
      </c>
      <c r="E43" t="str">
        <f t="shared" si="0"/>
        <v>No</v>
      </c>
      <c r="K43" t="s">
        <v>86</v>
      </c>
      <c r="L43" t="s">
        <v>87</v>
      </c>
      <c r="M43" t="s">
        <v>105</v>
      </c>
      <c r="N43">
        <v>26500</v>
      </c>
      <c r="O43">
        <f t="shared" si="1"/>
        <v>2500</v>
      </c>
    </row>
    <row r="44" spans="1:15" x14ac:dyDescent="0.3">
      <c r="A44" t="s">
        <v>88</v>
      </c>
      <c r="B44" t="s">
        <v>89</v>
      </c>
      <c r="C44" t="s">
        <v>106</v>
      </c>
      <c r="D44">
        <v>28000</v>
      </c>
      <c r="E44" t="str">
        <f t="shared" si="0"/>
        <v>Yes</v>
      </c>
      <c r="K44" t="s">
        <v>88</v>
      </c>
      <c r="L44" t="s">
        <v>89</v>
      </c>
      <c r="M44" t="s">
        <v>106</v>
      </c>
      <c r="N44">
        <v>28000</v>
      </c>
      <c r="O44">
        <f t="shared" si="1"/>
        <v>3000</v>
      </c>
    </row>
    <row r="45" spans="1:15" x14ac:dyDescent="0.3">
      <c r="A45" t="s">
        <v>90</v>
      </c>
      <c r="B45" t="s">
        <v>91</v>
      </c>
      <c r="C45" t="s">
        <v>107</v>
      </c>
      <c r="D45">
        <v>29500</v>
      </c>
      <c r="E45" t="str">
        <f t="shared" si="0"/>
        <v>Yes</v>
      </c>
      <c r="K45" t="s">
        <v>90</v>
      </c>
      <c r="L45" t="s">
        <v>91</v>
      </c>
      <c r="M45" t="s">
        <v>107</v>
      </c>
      <c r="N45">
        <v>29500</v>
      </c>
      <c r="O45">
        <f t="shared" si="1"/>
        <v>6000</v>
      </c>
    </row>
    <row r="46" spans="1:15" x14ac:dyDescent="0.3">
      <c r="A46" t="s">
        <v>92</v>
      </c>
      <c r="B46" t="s">
        <v>93</v>
      </c>
      <c r="C46" t="s">
        <v>108</v>
      </c>
      <c r="D46">
        <v>31000</v>
      </c>
      <c r="E46" t="str">
        <f t="shared" si="0"/>
        <v>Yes</v>
      </c>
      <c r="K46" t="s">
        <v>92</v>
      </c>
      <c r="L46" t="s">
        <v>93</v>
      </c>
      <c r="M46" t="s">
        <v>108</v>
      </c>
      <c r="N46">
        <v>31000</v>
      </c>
      <c r="O46">
        <f t="shared" si="1"/>
        <v>4100</v>
      </c>
    </row>
    <row r="47" spans="1:15" x14ac:dyDescent="0.3">
      <c r="A47" t="s">
        <v>94</v>
      </c>
      <c r="B47" t="s">
        <v>95</v>
      </c>
      <c r="C47" t="s">
        <v>109</v>
      </c>
      <c r="D47">
        <v>32500</v>
      </c>
      <c r="E47" t="str">
        <f t="shared" si="0"/>
        <v>Yes</v>
      </c>
      <c r="K47" t="s">
        <v>94</v>
      </c>
      <c r="L47" t="s">
        <v>95</v>
      </c>
      <c r="M47" t="s">
        <v>109</v>
      </c>
      <c r="N47">
        <v>32500</v>
      </c>
      <c r="O47">
        <f t="shared" si="1"/>
        <v>2000</v>
      </c>
    </row>
    <row r="48" spans="1:15" x14ac:dyDescent="0.3">
      <c r="A48" t="s">
        <v>96</v>
      </c>
      <c r="B48" t="s">
        <v>97</v>
      </c>
      <c r="C48" t="s">
        <v>110</v>
      </c>
      <c r="D48">
        <v>34000</v>
      </c>
      <c r="E48" t="str">
        <f t="shared" si="0"/>
        <v>Yes</v>
      </c>
      <c r="K48" t="s">
        <v>96</v>
      </c>
      <c r="L48" t="s">
        <v>97</v>
      </c>
      <c r="M48" t="s">
        <v>110</v>
      </c>
      <c r="N48">
        <v>34000</v>
      </c>
      <c r="O48">
        <f t="shared" si="1"/>
        <v>7000</v>
      </c>
    </row>
    <row r="49" spans="1:15" x14ac:dyDescent="0.3">
      <c r="A49" t="s">
        <v>98</v>
      </c>
      <c r="B49" t="s">
        <v>99</v>
      </c>
      <c r="C49" t="s">
        <v>111</v>
      </c>
      <c r="D49">
        <v>35500</v>
      </c>
      <c r="E49" t="str">
        <f t="shared" si="0"/>
        <v>Yes</v>
      </c>
      <c r="K49" t="s">
        <v>98</v>
      </c>
      <c r="L49" t="s">
        <v>99</v>
      </c>
      <c r="M49" t="s">
        <v>111</v>
      </c>
      <c r="N49">
        <v>35500</v>
      </c>
      <c r="O49">
        <f t="shared" si="1"/>
        <v>2100</v>
      </c>
    </row>
    <row r="50" spans="1:15" x14ac:dyDescent="0.3">
      <c r="A50" t="s">
        <v>100</v>
      </c>
      <c r="B50" t="s">
        <v>101</v>
      </c>
      <c r="C50" t="s">
        <v>112</v>
      </c>
      <c r="D50">
        <v>37000</v>
      </c>
      <c r="E50" t="str">
        <f t="shared" si="0"/>
        <v>Yes</v>
      </c>
      <c r="K50" t="s">
        <v>100</v>
      </c>
      <c r="L50" t="s">
        <v>101</v>
      </c>
      <c r="M50" t="s">
        <v>112</v>
      </c>
      <c r="N50">
        <v>37000</v>
      </c>
      <c r="O50">
        <f t="shared" si="1"/>
        <v>5000</v>
      </c>
    </row>
    <row r="51" spans="1:15" x14ac:dyDescent="0.3">
      <c r="A51" t="s">
        <v>102</v>
      </c>
      <c r="B51" t="s">
        <v>103</v>
      </c>
      <c r="C51" t="s">
        <v>105</v>
      </c>
      <c r="D51">
        <v>38500</v>
      </c>
      <c r="E51" t="str">
        <f t="shared" si="0"/>
        <v>Yes</v>
      </c>
      <c r="K51" t="s">
        <v>102</v>
      </c>
      <c r="L51" t="s">
        <v>103</v>
      </c>
      <c r="M51" t="s">
        <v>105</v>
      </c>
      <c r="N51">
        <v>38500</v>
      </c>
      <c r="O51">
        <f t="shared" si="1"/>
        <v>2500</v>
      </c>
    </row>
  </sheetData>
  <mergeCells count="1">
    <mergeCell ref="F13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2026-08-01T15:06:15Z</dcterms:created>
  <dcterms:modified xsi:type="dcterms:W3CDTF">2026-08-01T16:22:35Z</dcterms:modified>
</cp:coreProperties>
</file>
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522C59785A8FE8/Documents/"/>
    </mc:Choice>
  </mc:AlternateContent>
  <xr:revisionPtr revIDLastSave="325" documentId="8_{589AD159-C96B-4841-97D1-AF2A54FA1B06}" xr6:coauthVersionLast="47" xr6:coauthVersionMax="47" xr10:uidLastSave="{22CB3029-3EBB-4F73-8BA6-7A93A34B7805}"/>
  <bookViews>
    <workbookView xWindow="-108" yWindow="-108" windowWidth="23256" windowHeight="12456" xr2:uid="{06FC24C4-44D5-4E8B-A88D-CBFDA50EB8CF}"/>
  </bookViews>
  <sheets>
    <sheet name="Sheet1" sheetId="1" r:id="rId1"/>
  </sheets>
  <definedNames>
    <definedName name="_xlnm._FilterDatabase" localSheetId="0" hidden="1">Sheet1!$A$1:$N$106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9" i="1" l="1"/>
  <c r="O84" i="1" a="1"/>
  <c r="O84" i="1" s="1"/>
  <c r="O85" i="1" a="1"/>
  <c r="O85" i="1" s="1"/>
  <c r="P85" i="1" s="1"/>
  <c r="O86" i="1" a="1"/>
  <c r="O86" i="1" s="1"/>
  <c r="P86" i="1" s="1"/>
  <c r="O87" i="1" a="1"/>
  <c r="O87" i="1"/>
  <c r="P87" i="1" s="1"/>
  <c r="O88" i="1" a="1"/>
  <c r="O88" i="1" s="1"/>
  <c r="P88" i="1" s="1"/>
  <c r="O89" i="1" a="1"/>
  <c r="O89" i="1" s="1"/>
  <c r="O90" i="1" a="1"/>
  <c r="O90" i="1"/>
  <c r="P90" i="1" s="1"/>
  <c r="O91" i="1" a="1"/>
  <c r="O91" i="1"/>
  <c r="P91" i="1" s="1"/>
  <c r="O92" i="1" a="1"/>
  <c r="O92" i="1" s="1"/>
  <c r="O93" i="1" a="1"/>
  <c r="O93" i="1" s="1"/>
  <c r="P93" i="1" s="1"/>
  <c r="O94" i="1" a="1"/>
  <c r="O94" i="1" s="1"/>
  <c r="P94" i="1" s="1"/>
  <c r="O95" i="1" a="1"/>
  <c r="O95" i="1" s="1"/>
  <c r="P95" i="1" s="1"/>
  <c r="O96" i="1" a="1"/>
  <c r="O96" i="1" s="1"/>
  <c r="P96" i="1" s="1"/>
  <c r="O97" i="1" a="1"/>
  <c r="O97" i="1" s="1"/>
  <c r="P97" i="1" s="1"/>
  <c r="O98" i="1" a="1"/>
  <c r="O98" i="1" s="1"/>
  <c r="O99" i="1" a="1"/>
  <c r="O99" i="1" s="1"/>
  <c r="P99" i="1" s="1"/>
  <c r="O100" i="1" a="1"/>
  <c r="O100" i="1" s="1"/>
  <c r="P100" i="1" s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84" i="1"/>
  <c r="M85" i="1"/>
  <c r="Q85" i="1" s="1"/>
  <c r="M86" i="1"/>
  <c r="Q86" i="1" s="1"/>
  <c r="M87" i="1"/>
  <c r="Q87" i="1" s="1"/>
  <c r="M88" i="1"/>
  <c r="Q88" i="1" s="1"/>
  <c r="M89" i="1"/>
  <c r="Q89" i="1" s="1"/>
  <c r="M90" i="1"/>
  <c r="Q90" i="1" s="1"/>
  <c r="M91" i="1"/>
  <c r="M92" i="1"/>
  <c r="M93" i="1"/>
  <c r="M94" i="1"/>
  <c r="M95" i="1"/>
  <c r="Q95" i="1" s="1"/>
  <c r="M96" i="1"/>
  <c r="Q96" i="1" s="1"/>
  <c r="M97" i="1"/>
  <c r="Q97" i="1" s="1"/>
  <c r="M98" i="1"/>
  <c r="M99" i="1"/>
  <c r="Q99" i="1" s="1"/>
  <c r="M100" i="1"/>
  <c r="Q100" i="1" s="1"/>
  <c r="M84" i="1"/>
  <c r="Q84" i="1" s="1"/>
  <c r="D70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" i="1"/>
  <c r="Q93" i="1" l="1"/>
  <c r="Q94" i="1"/>
  <c r="Q91" i="1"/>
  <c r="Q92" i="1"/>
  <c r="Q98" i="1"/>
  <c r="P84" i="1"/>
  <c r="P92" i="1"/>
  <c r="D10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<sst xmlns="http://schemas.openxmlformats.org/spreadsheetml/2006/main" count="364" uniqueCount="231">
  <si>
    <t>Employee Id</t>
  </si>
  <si>
    <t>Name of employee</t>
  </si>
  <si>
    <t>Depart name</t>
  </si>
  <si>
    <t>Salary</t>
  </si>
  <si>
    <t>Joining Date</t>
  </si>
  <si>
    <t>Emp001</t>
  </si>
  <si>
    <t>Employee_1</t>
  </si>
  <si>
    <t>Finace</t>
  </si>
  <si>
    <t>Emp002</t>
  </si>
  <si>
    <t>Employee_2</t>
  </si>
  <si>
    <t>opcration</t>
  </si>
  <si>
    <t>Emp003</t>
  </si>
  <si>
    <t>Employee_3</t>
  </si>
  <si>
    <t xml:space="preserve">sales </t>
  </si>
  <si>
    <t>Emp004</t>
  </si>
  <si>
    <t>Employee_4</t>
  </si>
  <si>
    <t>IT</t>
  </si>
  <si>
    <t>Emp005</t>
  </si>
  <si>
    <t>Employee_5</t>
  </si>
  <si>
    <t>HR</t>
  </si>
  <si>
    <t>Emp006</t>
  </si>
  <si>
    <t>Employee_6</t>
  </si>
  <si>
    <t>Emp007</t>
  </si>
  <si>
    <t>Employee_7</t>
  </si>
  <si>
    <t>Emp008</t>
  </si>
  <si>
    <t>Employee_8</t>
  </si>
  <si>
    <t>Emp009</t>
  </si>
  <si>
    <t>Employee_9</t>
  </si>
  <si>
    <t>Emp010</t>
  </si>
  <si>
    <t>Employee_10</t>
  </si>
  <si>
    <t>Emp011</t>
  </si>
  <si>
    <t>Employee_11</t>
  </si>
  <si>
    <t>Emp012</t>
  </si>
  <si>
    <t>Employee_12</t>
  </si>
  <si>
    <t>Emp013</t>
  </si>
  <si>
    <t>Employee_13</t>
  </si>
  <si>
    <t>Emp014</t>
  </si>
  <si>
    <t>Employee_14</t>
  </si>
  <si>
    <t>Emp015</t>
  </si>
  <si>
    <t>Employee_15</t>
  </si>
  <si>
    <t>Emp016</t>
  </si>
  <si>
    <t>Employee_16</t>
  </si>
  <si>
    <t>Emp017</t>
  </si>
  <si>
    <t>Employee_17</t>
  </si>
  <si>
    <t>Emp018</t>
  </si>
  <si>
    <t>Employee_18</t>
  </si>
  <si>
    <t>Emp019</t>
  </si>
  <si>
    <t>Employee_19</t>
  </si>
  <si>
    <t>Emp020</t>
  </si>
  <si>
    <t>Employee_20</t>
  </si>
  <si>
    <t>Emp021</t>
  </si>
  <si>
    <t>Employee_21</t>
  </si>
  <si>
    <t>Emp022</t>
  </si>
  <si>
    <t>Employee_22</t>
  </si>
  <si>
    <t>Emp023</t>
  </si>
  <si>
    <t>Employee_23</t>
  </si>
  <si>
    <t>Emp024</t>
  </si>
  <si>
    <t>Employee_24</t>
  </si>
  <si>
    <t>Emp025</t>
  </si>
  <si>
    <t>Employee_25</t>
  </si>
  <si>
    <t>Emp026</t>
  </si>
  <si>
    <t>Employee_26</t>
  </si>
  <si>
    <t>Emp027</t>
  </si>
  <si>
    <t>Employee_27</t>
  </si>
  <si>
    <t>Emp028</t>
  </si>
  <si>
    <t>Employee_28</t>
  </si>
  <si>
    <t>Emp029</t>
  </si>
  <si>
    <t>Employee_29</t>
  </si>
  <si>
    <t>Emp030</t>
  </si>
  <si>
    <t>Employee_30</t>
  </si>
  <si>
    <t>Emp031</t>
  </si>
  <si>
    <t>Employee_31</t>
  </si>
  <si>
    <t>Emp032</t>
  </si>
  <si>
    <t>Employee_32</t>
  </si>
  <si>
    <t>Emp033</t>
  </si>
  <si>
    <t>Employee_33</t>
  </si>
  <si>
    <t>Emp034</t>
  </si>
  <si>
    <t>Employee_34</t>
  </si>
  <si>
    <t>Emp035</t>
  </si>
  <si>
    <t>Employee_35</t>
  </si>
  <si>
    <t>Emp036</t>
  </si>
  <si>
    <t>Employee_36</t>
  </si>
  <si>
    <t>Emp037</t>
  </si>
  <si>
    <t>Employee_37</t>
  </si>
  <si>
    <t>Emp038</t>
  </si>
  <si>
    <t>Employee_38</t>
  </si>
  <si>
    <t>Emp039</t>
  </si>
  <si>
    <t>Employee_39</t>
  </si>
  <si>
    <t>Emp040</t>
  </si>
  <si>
    <t>Employee_40</t>
  </si>
  <si>
    <t>Emp041</t>
  </si>
  <si>
    <t>Employee_41</t>
  </si>
  <si>
    <t>Emp042</t>
  </si>
  <si>
    <t>Employee_42</t>
  </si>
  <si>
    <t>Emp043</t>
  </si>
  <si>
    <t>Employee_43</t>
  </si>
  <si>
    <t>Emp044</t>
  </si>
  <si>
    <t>Employee_44</t>
  </si>
  <si>
    <t>Emp045</t>
  </si>
  <si>
    <t>Employee_45</t>
  </si>
  <si>
    <t>Emp046</t>
  </si>
  <si>
    <t>Employee_46</t>
  </si>
  <si>
    <t>Emp047</t>
  </si>
  <si>
    <t>Employee_47</t>
  </si>
  <si>
    <t>Emp048</t>
  </si>
  <si>
    <t>Employee_48</t>
  </si>
  <si>
    <t>Emp049</t>
  </si>
  <si>
    <t>Employee_49</t>
  </si>
  <si>
    <t>Emp050</t>
  </si>
  <si>
    <t>Employee_50</t>
  </si>
  <si>
    <t>Emp051</t>
  </si>
  <si>
    <t>Employee_51</t>
  </si>
  <si>
    <t>Emp052</t>
  </si>
  <si>
    <t>Employee_52</t>
  </si>
  <si>
    <t>Emp053</t>
  </si>
  <si>
    <t>Employee_53</t>
  </si>
  <si>
    <t>Emp054</t>
  </si>
  <si>
    <t>Employee_54</t>
  </si>
  <si>
    <t>Emp055</t>
  </si>
  <si>
    <t>Employee_55</t>
  </si>
  <si>
    <t>Emp056</t>
  </si>
  <si>
    <t>Employee_56</t>
  </si>
  <si>
    <t>Emp057</t>
  </si>
  <si>
    <t>Employee_57</t>
  </si>
  <si>
    <t>Emp058</t>
  </si>
  <si>
    <t>Employee_58</t>
  </si>
  <si>
    <t>Emp059</t>
  </si>
  <si>
    <t>Employee_59</t>
  </si>
  <si>
    <t>Emp060</t>
  </si>
  <si>
    <t>Employee_60</t>
  </si>
  <si>
    <t>Emp061</t>
  </si>
  <si>
    <t>Employee_61</t>
  </si>
  <si>
    <t>Emp062</t>
  </si>
  <si>
    <t>Employee_62</t>
  </si>
  <si>
    <t>Emp063</t>
  </si>
  <si>
    <t>Employee_63</t>
  </si>
  <si>
    <t>Emp064</t>
  </si>
  <si>
    <t>Employee_64</t>
  </si>
  <si>
    <t>Emp065</t>
  </si>
  <si>
    <t>Employee_65</t>
  </si>
  <si>
    <t>Emp066</t>
  </si>
  <si>
    <t>Employee_66</t>
  </si>
  <si>
    <t>Emp067</t>
  </si>
  <si>
    <t>Employee_67</t>
  </si>
  <si>
    <t>Emp068</t>
  </si>
  <si>
    <t>Employee_68</t>
  </si>
  <si>
    <t>Emp069</t>
  </si>
  <si>
    <t>Employee_69</t>
  </si>
  <si>
    <t>Emp070</t>
  </si>
  <si>
    <t>Employee_70</t>
  </si>
  <si>
    <t>Emp071</t>
  </si>
  <si>
    <t>Employee_71</t>
  </si>
  <si>
    <t>Emp072</t>
  </si>
  <si>
    <t>Employee_72</t>
  </si>
  <si>
    <t>Emp073</t>
  </si>
  <si>
    <t>Employee_73</t>
  </si>
  <si>
    <t>Emp074</t>
  </si>
  <si>
    <t>Employee_74</t>
  </si>
  <si>
    <t>Emp075</t>
  </si>
  <si>
    <t>Employee_75</t>
  </si>
  <si>
    <t>Emp076</t>
  </si>
  <si>
    <t>Employee_76</t>
  </si>
  <si>
    <t>Emp077</t>
  </si>
  <si>
    <t>Employee_77</t>
  </si>
  <si>
    <t>Emp078</t>
  </si>
  <si>
    <t>Employee_78</t>
  </si>
  <si>
    <t>Emp079</t>
  </si>
  <si>
    <t>Employee_79</t>
  </si>
  <si>
    <t>Emp080</t>
  </si>
  <si>
    <t>Employee_80</t>
  </si>
  <si>
    <t>Emp081</t>
  </si>
  <si>
    <t>Employee_81</t>
  </si>
  <si>
    <t>Emp082</t>
  </si>
  <si>
    <t>Employee_82</t>
  </si>
  <si>
    <t>Student _Id</t>
  </si>
  <si>
    <t>Name student</t>
  </si>
  <si>
    <t>Subject1</t>
  </si>
  <si>
    <t>Result</t>
  </si>
  <si>
    <t>Parsentage</t>
  </si>
  <si>
    <t>Grade</t>
  </si>
  <si>
    <t>Emp083</t>
  </si>
  <si>
    <t>Employee_83</t>
  </si>
  <si>
    <t>A</t>
  </si>
  <si>
    <t>Ab</t>
  </si>
  <si>
    <t>Emp084</t>
  </si>
  <si>
    <t>Employee_84</t>
  </si>
  <si>
    <t>B</t>
  </si>
  <si>
    <t>AC</t>
  </si>
  <si>
    <t>Emp085</t>
  </si>
  <si>
    <t>Employee_85</t>
  </si>
  <si>
    <t>Emp086</t>
  </si>
  <si>
    <t>Employee_86</t>
  </si>
  <si>
    <t>Emp087</t>
  </si>
  <si>
    <t>Employee_87</t>
  </si>
  <si>
    <t>Emp088</t>
  </si>
  <si>
    <t>Employee_88</t>
  </si>
  <si>
    <t>Emp089</t>
  </si>
  <si>
    <t>Employee_89</t>
  </si>
  <si>
    <t>Emp090</t>
  </si>
  <si>
    <t>Employee_90</t>
  </si>
  <si>
    <t>Emp091</t>
  </si>
  <si>
    <t>Employee_91</t>
  </si>
  <si>
    <t>Emp092</t>
  </si>
  <si>
    <t>Employee_92</t>
  </si>
  <si>
    <t>Emp093</t>
  </si>
  <si>
    <t>Employee_93</t>
  </si>
  <si>
    <t>Emp094</t>
  </si>
  <si>
    <t>Employee_94</t>
  </si>
  <si>
    <t>Emp095</t>
  </si>
  <si>
    <t>Employee_95</t>
  </si>
  <si>
    <t>Emp096</t>
  </si>
  <si>
    <t>Employee_96</t>
  </si>
  <si>
    <t>Emp097</t>
  </si>
  <si>
    <t>Employee_97</t>
  </si>
  <si>
    <t>C</t>
  </si>
  <si>
    <t>Emp098</t>
  </si>
  <si>
    <t>Employee_98</t>
  </si>
  <si>
    <t>Emp099</t>
  </si>
  <si>
    <t>Employee_99</t>
  </si>
  <si>
    <t>Emp100</t>
  </si>
  <si>
    <t>Employee_100</t>
  </si>
  <si>
    <t>Emp101</t>
  </si>
  <si>
    <t>Employee_101</t>
  </si>
  <si>
    <t>Emp102</t>
  </si>
  <si>
    <t>Employee_102</t>
  </si>
  <si>
    <t>Voting value</t>
  </si>
  <si>
    <t>Emp103</t>
  </si>
  <si>
    <t>Employee_103</t>
  </si>
  <si>
    <t>Emp104</t>
  </si>
  <si>
    <t>Employee_104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</si>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</sst>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* #,##0.00_ ;_ &quot;₹&quot;* \-#,##0.00_ ;_ &quot;₹&quot;* &quot;-&quot;??_ ;_ @_ "/>
    <numFmt numFmtId="164" formatCode="_ [$₹-4009]\ * #,##0.00_ ;_ [$₹-4009]\ * \-#,##0.00_ ;_ [$₹-4009]\ * &quot;-&quot;??_ ;_ @_ "/>
  </numFmts>
  <fonts count="5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8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2" fontId="0" fillId="0" borderId="0" xfId="2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14" fontId="0" fillId="0" borderId="1" xfId="1" applyNumberFormat="1" applyFont="1" applyBorder="1" applyProtection="1">
      <protection hidden="1"/>
    </xf>
    <xf numFmtId="14" fontId="0" fillId="0" borderId="1" xfId="0" applyNumberFormat="1" applyBorder="1" applyProtection="1">
      <protection hidden="1"/>
    </xf>
    <xf numFmtId="14" fontId="3" fillId="0" borderId="1" xfId="0" applyNumberFormat="1" applyFont="1" applyBorder="1" applyAlignment="1" applyProtection="1">
      <alignment horizontal="center"/>
      <protection hidden="1"/>
    </xf>
    <xf numFmtId="14" fontId="0" fillId="0" borderId="1" xfId="0" applyNumberFormat="1" applyBorder="1"/>
    <xf numFmtId="164" fontId="3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m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548640</xdr:colOff>
      <xdr:row>16</xdr:row>
      <xdr:rowOff>167640</xdr:rowOff>
    </xdr:from>
    <xdr:to>
      <xdr:col>8</xdr:col>
      <xdr:colOff>487732</xdr:colOff>
      <xdr:row>20</xdr:row>
      <xdr:rowOff>38152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69BE498-9C90-47D5-6A99-346AD400D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1460" y="3093720"/>
          <a:ext cx="602032" cy="6020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211650</xdr:colOff>
      <xdr:row>8</xdr:row>
      <xdr:rowOff>120210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405AD9-A997-AA18-6157-C1B014723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182880"/>
          <a:ext cx="1400370" cy="1400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BAE07FA-5D59-4524-8F1E-155F582C8BA5}">
  <we:reference id="wa104051163" version="1.2.0.3" store="en-US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1E8E5-A418-43C4-B753-4CF5293B23DC}">
  <dimension ref="A1:Q125"/>
  <sheetViews>
    <sheetView tabSelected="1" topLeftCell="C79" workbookViewId="0">
      <selection activeCell="H83" sqref="H83:Q100"/>
    </sheetView>
  </sheetViews>
  <sheetFormatPr defaultRowHeight="14.4" x14ac:dyDescent="0.3"/>
  <cols>
    <col min="1" max="1" width="13.33203125" customWidth="1"/>
    <col min="2" max="2" width="17.33203125" customWidth="1"/>
    <col min="3" max="3" width="16.6640625" customWidth="1"/>
    <col min="4" max="4" width="22" style="13" customWidth="1"/>
    <col min="5" max="5" width="19.5546875" style="2" customWidth="1"/>
    <col min="8" max="8" width="9.6640625" bestFit="1" customWidth="1"/>
    <col min="9" max="9" width="12.33203125" bestFit="1" customWidth="1"/>
    <col min="10" max="10" width="18.5546875" customWidth="1"/>
    <col min="11" max="11" width="15.88671875" customWidth="1"/>
    <col min="12" max="12" width="21.5546875" customWidth="1"/>
    <col min="15" max="15" width="11.33203125" bestFit="1" customWidth="1"/>
  </cols>
  <sheetData>
    <row r="1" spans="1:12" x14ac:dyDescent="0.3">
      <c r="A1" s="5" t="s">
        <v>0</v>
      </c>
      <c r="B1" s="5" t="s">
        <v>1</v>
      </c>
      <c r="C1" s="5" t="s">
        <v>2</v>
      </c>
      <c r="D1" s="11" t="s">
        <v>3</v>
      </c>
      <c r="E1" s="9" t="s">
        <v>4</v>
      </c>
    </row>
    <row r="2" spans="1:12" x14ac:dyDescent="0.3">
      <c r="A2" s="6" t="s">
        <v>5</v>
      </c>
      <c r="B2" s="6" t="s">
        <v>6</v>
      </c>
      <c r="C2" s="6" t="s">
        <v>7</v>
      </c>
      <c r="D2" s="12">
        <v>41954</v>
      </c>
      <c r="E2" s="7">
        <v>43832</v>
      </c>
    </row>
    <row r="3" spans="1:12" x14ac:dyDescent="0.3">
      <c r="A3" s="6" t="s">
        <v>8</v>
      </c>
      <c r="B3" s="6" t="s">
        <v>9</v>
      </c>
      <c r="C3" s="6" t="s">
        <v>10</v>
      </c>
      <c r="D3" s="12">
        <v>49835</v>
      </c>
      <c r="E3" s="8">
        <v>43833</v>
      </c>
    </row>
    <row r="4" spans="1:12" x14ac:dyDescent="0.3">
      <c r="A4" s="6" t="s">
        <v>11</v>
      </c>
      <c r="B4" s="6" t="s">
        <v>12</v>
      </c>
      <c r="C4" s="6" t="s">
        <v>13</v>
      </c>
      <c r="D4" s="12">
        <v>94210</v>
      </c>
      <c r="E4" s="7">
        <v>43834</v>
      </c>
    </row>
    <row r="5" spans="1:12" x14ac:dyDescent="0.3">
      <c r="A5" s="6" t="s">
        <v>14</v>
      </c>
      <c r="B5" s="6" t="s">
        <v>15</v>
      </c>
      <c r="C5" s="6" t="s">
        <v>16</v>
      </c>
      <c r="D5" s="12">
        <v>74659</v>
      </c>
      <c r="E5" s="8">
        <v>43835</v>
      </c>
    </row>
    <row r="6" spans="1:12" x14ac:dyDescent="0.3">
      <c r="A6" s="6" t="s">
        <v>17</v>
      </c>
      <c r="B6" s="6" t="s">
        <v>18</v>
      </c>
      <c r="C6" s="6" t="s">
        <v>19</v>
      </c>
      <c r="D6" s="12">
        <v>54752</v>
      </c>
      <c r="E6" s="7">
        <v>43836</v>
      </c>
    </row>
    <row r="7" spans="1:12" x14ac:dyDescent="0.3">
      <c r="A7" s="6" t="s">
        <v>20</v>
      </c>
      <c r="B7" s="6" t="s">
        <v>21</v>
      </c>
      <c r="C7" s="6" t="s">
        <v>7</v>
      </c>
      <c r="D7" s="12">
        <f>INDEX($D$2:$D$6,MATCH(C6,$C$2:$C$6,))</f>
        <v>54752</v>
      </c>
      <c r="E7" s="8">
        <v>43837</v>
      </c>
    </row>
    <row r="8" spans="1:12" x14ac:dyDescent="0.3">
      <c r="A8" s="6" t="s">
        <v>22</v>
      </c>
      <c r="B8" s="6" t="s">
        <v>23</v>
      </c>
      <c r="C8" s="6" t="s">
        <v>10</v>
      </c>
      <c r="D8" s="12">
        <f t="shared" ref="D8:D71" si="0">INDEX($D$2:$D$6,MATCH(C7,$C$2:$C$6,))</f>
        <v>41954</v>
      </c>
      <c r="E8" s="7">
        <v>43838</v>
      </c>
    </row>
    <row r="9" spans="1:12" x14ac:dyDescent="0.3">
      <c r="A9" s="6" t="s">
        <v>24</v>
      </c>
      <c r="B9" s="6" t="s">
        <v>25</v>
      </c>
      <c r="C9" s="6" t="s">
        <v>13</v>
      </c>
      <c r="D9" s="12">
        <f t="shared" si="0"/>
        <v>49835</v>
      </c>
      <c r="E9" s="8">
        <v>43839</v>
      </c>
    </row>
    <row r="10" spans="1:12" x14ac:dyDescent="0.3">
      <c r="A10" s="6" t="s">
        <v>26</v>
      </c>
      <c r="B10" s="6" t="s">
        <v>27</v>
      </c>
      <c r="C10" s="6" t="s">
        <v>16</v>
      </c>
      <c r="D10" s="12">
        <f t="shared" si="0"/>
        <v>94210</v>
      </c>
      <c r="E10" s="7">
        <v>43840</v>
      </c>
    </row>
    <row r="11" spans="1:12" x14ac:dyDescent="0.3">
      <c r="A11" s="6" t="s">
        <v>28</v>
      </c>
      <c r="B11" s="6" t="s">
        <v>29</v>
      </c>
      <c r="C11" s="6" t="s">
        <v>19</v>
      </c>
      <c r="D11" s="12">
        <f t="shared" si="0"/>
        <v>74659</v>
      </c>
      <c r="E11" s="8">
        <v>43841</v>
      </c>
    </row>
    <row r="12" spans="1:12" x14ac:dyDescent="0.3">
      <c r="A12" s="6" t="s">
        <v>30</v>
      </c>
      <c r="B12" s="6" t="s">
        <v>31</v>
      </c>
      <c r="C12" s="6" t="s">
        <v>7</v>
      </c>
      <c r="D12" s="12">
        <f t="shared" si="0"/>
        <v>54752</v>
      </c>
      <c r="E12" s="7">
        <v>43842</v>
      </c>
    </row>
    <row r="13" spans="1:12" x14ac:dyDescent="0.3">
      <c r="A13" s="6" t="s">
        <v>32</v>
      </c>
      <c r="B13" s="6" t="s">
        <v>33</v>
      </c>
      <c r="C13" s="6" t="s">
        <v>10</v>
      </c>
      <c r="D13" s="12">
        <f t="shared" si="0"/>
        <v>41954</v>
      </c>
      <c r="E13" s="8">
        <v>43843</v>
      </c>
      <c r="L13" s="2"/>
    </row>
    <row r="14" spans="1:12" x14ac:dyDescent="0.3">
      <c r="A14" s="6" t="s">
        <v>34</v>
      </c>
      <c r="B14" s="6" t="s">
        <v>35</v>
      </c>
      <c r="C14" s="6" t="s">
        <v>13</v>
      </c>
      <c r="D14" s="12">
        <f t="shared" si="0"/>
        <v>49835</v>
      </c>
      <c r="E14" s="7">
        <v>43844</v>
      </c>
    </row>
    <row r="15" spans="1:12" x14ac:dyDescent="0.3">
      <c r="A15" s="6" t="s">
        <v>36</v>
      </c>
      <c r="B15" s="6" t="s">
        <v>37</v>
      </c>
      <c r="C15" s="6" t="s">
        <v>16</v>
      </c>
      <c r="D15" s="12">
        <f t="shared" si="0"/>
        <v>94210</v>
      </c>
      <c r="E15" s="8">
        <v>43845</v>
      </c>
    </row>
    <row r="16" spans="1:12" x14ac:dyDescent="0.3">
      <c r="A16" s="6" t="s">
        <v>38</v>
      </c>
      <c r="B16" s="6" t="s">
        <v>39</v>
      </c>
      <c r="C16" s="6" t="s">
        <v>19</v>
      </c>
      <c r="D16" s="12">
        <f t="shared" si="0"/>
        <v>74659</v>
      </c>
      <c r="E16" s="7">
        <v>43846</v>
      </c>
    </row>
    <row r="17" spans="1:5" x14ac:dyDescent="0.3">
      <c r="A17" s="6" t="s">
        <v>40</v>
      </c>
      <c r="B17" s="6" t="s">
        <v>41</v>
      </c>
      <c r="C17" s="6" t="s">
        <v>7</v>
      </c>
      <c r="D17" s="12">
        <f t="shared" si="0"/>
        <v>54752</v>
      </c>
      <c r="E17" s="8">
        <v>43847</v>
      </c>
    </row>
    <row r="18" spans="1:5" x14ac:dyDescent="0.3">
      <c r="A18" s="6" t="s">
        <v>42</v>
      </c>
      <c r="B18" s="6" t="s">
        <v>43</v>
      </c>
      <c r="C18" s="6" t="s">
        <v>10</v>
      </c>
      <c r="D18" s="12">
        <f t="shared" si="0"/>
        <v>41954</v>
      </c>
      <c r="E18" s="7">
        <v>43848</v>
      </c>
    </row>
    <row r="19" spans="1:5" x14ac:dyDescent="0.3">
      <c r="A19" s="6" t="s">
        <v>44</v>
      </c>
      <c r="B19" s="6" t="s">
        <v>45</v>
      </c>
      <c r="C19" s="6" t="s">
        <v>13</v>
      </c>
      <c r="D19" s="12">
        <f t="shared" si="0"/>
        <v>49835</v>
      </c>
      <c r="E19" s="8">
        <v>43849</v>
      </c>
    </row>
    <row r="20" spans="1:5" x14ac:dyDescent="0.3">
      <c r="A20" s="6" t="s">
        <v>46</v>
      </c>
      <c r="B20" s="6" t="s">
        <v>47</v>
      </c>
      <c r="C20" s="6" t="s">
        <v>16</v>
      </c>
      <c r="D20" s="12">
        <f t="shared" si="0"/>
        <v>94210</v>
      </c>
      <c r="E20" s="7">
        <v>43850</v>
      </c>
    </row>
    <row r="21" spans="1:5" x14ac:dyDescent="0.3">
      <c r="A21" s="6" t="s">
        <v>48</v>
      </c>
      <c r="B21" s="6" t="s">
        <v>49</v>
      </c>
      <c r="C21" s="6" t="s">
        <v>19</v>
      </c>
      <c r="D21" s="12">
        <f t="shared" si="0"/>
        <v>74659</v>
      </c>
      <c r="E21" s="8">
        <v>43851</v>
      </c>
    </row>
    <row r="22" spans="1:5" x14ac:dyDescent="0.3">
      <c r="A22" s="6" t="s">
        <v>50</v>
      </c>
      <c r="B22" s="6" t="s">
        <v>51</v>
      </c>
      <c r="C22" s="6" t="s">
        <v>7</v>
      </c>
      <c r="D22" s="12">
        <f t="shared" si="0"/>
        <v>54752</v>
      </c>
      <c r="E22" s="7">
        <v>43852</v>
      </c>
    </row>
    <row r="23" spans="1:5" x14ac:dyDescent="0.3">
      <c r="A23" s="6" t="s">
        <v>52</v>
      </c>
      <c r="B23" s="6" t="s">
        <v>53</v>
      </c>
      <c r="C23" s="6" t="s">
        <v>10</v>
      </c>
      <c r="D23" s="12">
        <f t="shared" si="0"/>
        <v>41954</v>
      </c>
      <c r="E23" s="8">
        <v>43853</v>
      </c>
    </row>
    <row r="24" spans="1:5" x14ac:dyDescent="0.3">
      <c r="A24" s="6" t="s">
        <v>54</v>
      </c>
      <c r="B24" s="6" t="s">
        <v>55</v>
      </c>
      <c r="C24" s="6" t="s">
        <v>13</v>
      </c>
      <c r="D24" s="12">
        <f t="shared" si="0"/>
        <v>49835</v>
      </c>
      <c r="E24" s="7">
        <v>43854</v>
      </c>
    </row>
    <row r="25" spans="1:5" x14ac:dyDescent="0.3">
      <c r="A25" s="6" t="s">
        <v>56</v>
      </c>
      <c r="B25" s="6" t="s">
        <v>57</v>
      </c>
      <c r="C25" s="6" t="s">
        <v>16</v>
      </c>
      <c r="D25" s="12">
        <f t="shared" si="0"/>
        <v>94210</v>
      </c>
      <c r="E25" s="8">
        <v>43855</v>
      </c>
    </row>
    <row r="26" spans="1:5" x14ac:dyDescent="0.3">
      <c r="A26" s="6" t="s">
        <v>58</v>
      </c>
      <c r="B26" s="6" t="s">
        <v>59</v>
      </c>
      <c r="C26" s="6" t="s">
        <v>19</v>
      </c>
      <c r="D26" s="12">
        <f t="shared" si="0"/>
        <v>74659</v>
      </c>
      <c r="E26" s="7">
        <v>43856</v>
      </c>
    </row>
    <row r="27" spans="1:5" x14ac:dyDescent="0.3">
      <c r="A27" s="6" t="s">
        <v>60</v>
      </c>
      <c r="B27" s="6" t="s">
        <v>61</v>
      </c>
      <c r="C27" s="6" t="s">
        <v>7</v>
      </c>
      <c r="D27" s="12">
        <f t="shared" si="0"/>
        <v>54752</v>
      </c>
      <c r="E27" s="8">
        <v>43857</v>
      </c>
    </row>
    <row r="28" spans="1:5" x14ac:dyDescent="0.3">
      <c r="A28" s="6" t="s">
        <v>62</v>
      </c>
      <c r="B28" s="6" t="s">
        <v>63</v>
      </c>
      <c r="C28" s="6" t="s">
        <v>10</v>
      </c>
      <c r="D28" s="12">
        <f t="shared" si="0"/>
        <v>41954</v>
      </c>
      <c r="E28" s="7">
        <v>43858</v>
      </c>
    </row>
    <row r="29" spans="1:5" x14ac:dyDescent="0.3">
      <c r="A29" s="6" t="s">
        <v>64</v>
      </c>
      <c r="B29" s="6" t="s">
        <v>65</v>
      </c>
      <c r="C29" s="6" t="s">
        <v>13</v>
      </c>
      <c r="D29" s="12">
        <f t="shared" si="0"/>
        <v>49835</v>
      </c>
      <c r="E29" s="8">
        <v>43859</v>
      </c>
    </row>
    <row r="30" spans="1:5" x14ac:dyDescent="0.3">
      <c r="A30" s="6" t="s">
        <v>66</v>
      </c>
      <c r="B30" s="6" t="s">
        <v>67</v>
      </c>
      <c r="C30" s="6" t="s">
        <v>16</v>
      </c>
      <c r="D30" s="12">
        <f t="shared" si="0"/>
        <v>94210</v>
      </c>
      <c r="E30" s="7">
        <v>43860</v>
      </c>
    </row>
    <row r="31" spans="1:5" x14ac:dyDescent="0.3">
      <c r="A31" s="6" t="s">
        <v>68</v>
      </c>
      <c r="B31" s="6" t="s">
        <v>69</v>
      </c>
      <c r="C31" s="6" t="s">
        <v>19</v>
      </c>
      <c r="D31" s="12">
        <f t="shared" si="0"/>
        <v>74659</v>
      </c>
      <c r="E31" s="8">
        <v>43861</v>
      </c>
    </row>
    <row r="32" spans="1:5" x14ac:dyDescent="0.3">
      <c r="A32" s="6" t="s">
        <v>70</v>
      </c>
      <c r="B32" s="6" t="s">
        <v>71</v>
      </c>
      <c r="C32" s="6" t="s">
        <v>7</v>
      </c>
      <c r="D32" s="12">
        <f t="shared" si="0"/>
        <v>54752</v>
      </c>
      <c r="E32" s="7">
        <v>43862</v>
      </c>
    </row>
    <row r="33" spans="1:5" x14ac:dyDescent="0.3">
      <c r="A33" s="6" t="s">
        <v>72</v>
      </c>
      <c r="B33" s="6" t="s">
        <v>73</v>
      </c>
      <c r="C33" s="6" t="s">
        <v>10</v>
      </c>
      <c r="D33" s="12">
        <f t="shared" si="0"/>
        <v>41954</v>
      </c>
      <c r="E33" s="8">
        <v>43863</v>
      </c>
    </row>
    <row r="34" spans="1:5" x14ac:dyDescent="0.3">
      <c r="A34" s="6" t="s">
        <v>74</v>
      </c>
      <c r="B34" s="6" t="s">
        <v>75</v>
      </c>
      <c r="C34" s="6" t="s">
        <v>13</v>
      </c>
      <c r="D34" s="12">
        <f t="shared" si="0"/>
        <v>49835</v>
      </c>
      <c r="E34" s="7">
        <v>43864</v>
      </c>
    </row>
    <row r="35" spans="1:5" x14ac:dyDescent="0.3">
      <c r="A35" s="6" t="s">
        <v>76</v>
      </c>
      <c r="B35" s="6" t="s">
        <v>77</v>
      </c>
      <c r="C35" s="6" t="s">
        <v>16</v>
      </c>
      <c r="D35" s="12">
        <f t="shared" si="0"/>
        <v>94210</v>
      </c>
      <c r="E35" s="8">
        <v>43865</v>
      </c>
    </row>
    <row r="36" spans="1:5" x14ac:dyDescent="0.3">
      <c r="A36" s="6" t="s">
        <v>78</v>
      </c>
      <c r="B36" s="6" t="s">
        <v>79</v>
      </c>
      <c r="C36" s="6" t="s">
        <v>19</v>
      </c>
      <c r="D36" s="12">
        <f t="shared" si="0"/>
        <v>74659</v>
      </c>
      <c r="E36" s="7">
        <v>43866</v>
      </c>
    </row>
    <row r="37" spans="1:5" x14ac:dyDescent="0.3">
      <c r="A37" s="6" t="s">
        <v>80</v>
      </c>
      <c r="B37" s="6" t="s">
        <v>81</v>
      </c>
      <c r="C37" s="6" t="s">
        <v>7</v>
      </c>
      <c r="D37" s="12">
        <f t="shared" si="0"/>
        <v>54752</v>
      </c>
      <c r="E37" s="8">
        <v>43867</v>
      </c>
    </row>
    <row r="38" spans="1:5" x14ac:dyDescent="0.3">
      <c r="A38" s="6" t="s">
        <v>82</v>
      </c>
      <c r="B38" s="6" t="s">
        <v>83</v>
      </c>
      <c r="C38" s="6" t="s">
        <v>10</v>
      </c>
      <c r="D38" s="12">
        <f t="shared" si="0"/>
        <v>41954</v>
      </c>
      <c r="E38" s="7">
        <v>43868</v>
      </c>
    </row>
    <row r="39" spans="1:5" x14ac:dyDescent="0.3">
      <c r="A39" s="6" t="s">
        <v>84</v>
      </c>
      <c r="B39" s="6" t="s">
        <v>85</v>
      </c>
      <c r="C39" s="6" t="s">
        <v>13</v>
      </c>
      <c r="D39" s="12">
        <f t="shared" si="0"/>
        <v>49835</v>
      </c>
      <c r="E39" s="8">
        <v>43869</v>
      </c>
    </row>
    <row r="40" spans="1:5" x14ac:dyDescent="0.3">
      <c r="A40" s="6" t="s">
        <v>86</v>
      </c>
      <c r="B40" s="6" t="s">
        <v>87</v>
      </c>
      <c r="C40" s="6" t="s">
        <v>16</v>
      </c>
      <c r="D40" s="12">
        <f t="shared" si="0"/>
        <v>94210</v>
      </c>
      <c r="E40" s="7">
        <v>43870</v>
      </c>
    </row>
    <row r="41" spans="1:5" x14ac:dyDescent="0.3">
      <c r="A41" s="6" t="s">
        <v>88</v>
      </c>
      <c r="B41" s="6" t="s">
        <v>89</v>
      </c>
      <c r="C41" s="6" t="s">
        <v>19</v>
      </c>
      <c r="D41" s="12">
        <f t="shared" si="0"/>
        <v>74659</v>
      </c>
      <c r="E41" s="8">
        <v>43871</v>
      </c>
    </row>
    <row r="42" spans="1:5" x14ac:dyDescent="0.3">
      <c r="A42" s="6" t="s">
        <v>90</v>
      </c>
      <c r="B42" s="6" t="s">
        <v>91</v>
      </c>
      <c r="C42" s="6" t="s">
        <v>7</v>
      </c>
      <c r="D42" s="12">
        <f t="shared" si="0"/>
        <v>54752</v>
      </c>
      <c r="E42" s="7">
        <v>43872</v>
      </c>
    </row>
    <row r="43" spans="1:5" x14ac:dyDescent="0.3">
      <c r="A43" s="6" t="s">
        <v>92</v>
      </c>
      <c r="B43" s="6" t="s">
        <v>93</v>
      </c>
      <c r="C43" s="6" t="s">
        <v>10</v>
      </c>
      <c r="D43" s="12">
        <f t="shared" si="0"/>
        <v>41954</v>
      </c>
      <c r="E43" s="8">
        <v>43873</v>
      </c>
    </row>
    <row r="44" spans="1:5" x14ac:dyDescent="0.3">
      <c r="A44" s="6" t="s">
        <v>94</v>
      </c>
      <c r="B44" s="6" t="s">
        <v>95</v>
      </c>
      <c r="C44" s="6" t="s">
        <v>13</v>
      </c>
      <c r="D44" s="12">
        <f t="shared" si="0"/>
        <v>49835</v>
      </c>
      <c r="E44" s="7">
        <v>43874</v>
      </c>
    </row>
    <row r="45" spans="1:5" x14ac:dyDescent="0.3">
      <c r="A45" s="6" t="s">
        <v>96</v>
      </c>
      <c r="B45" s="6" t="s">
        <v>97</v>
      </c>
      <c r="C45" s="6" t="s">
        <v>16</v>
      </c>
      <c r="D45" s="12">
        <f t="shared" si="0"/>
        <v>94210</v>
      </c>
      <c r="E45" s="8">
        <v>43875</v>
      </c>
    </row>
    <row r="46" spans="1:5" x14ac:dyDescent="0.3">
      <c r="A46" s="6" t="s">
        <v>98</v>
      </c>
      <c r="B46" s="6" t="s">
        <v>99</v>
      </c>
      <c r="C46" s="6" t="s">
        <v>19</v>
      </c>
      <c r="D46" s="12">
        <f t="shared" si="0"/>
        <v>74659</v>
      </c>
      <c r="E46" s="7">
        <v>43876</v>
      </c>
    </row>
    <row r="47" spans="1:5" x14ac:dyDescent="0.3">
      <c r="A47" s="6" t="s">
        <v>100</v>
      </c>
      <c r="B47" s="6" t="s">
        <v>101</v>
      </c>
      <c r="C47" s="6" t="s">
        <v>7</v>
      </c>
      <c r="D47" s="12">
        <f t="shared" si="0"/>
        <v>54752</v>
      </c>
      <c r="E47" s="8">
        <v>43877</v>
      </c>
    </row>
    <row r="48" spans="1:5" x14ac:dyDescent="0.3">
      <c r="A48" s="6" t="s">
        <v>102</v>
      </c>
      <c r="B48" s="6" t="s">
        <v>103</v>
      </c>
      <c r="C48" s="6" t="s">
        <v>10</v>
      </c>
      <c r="D48" s="12">
        <f t="shared" si="0"/>
        <v>41954</v>
      </c>
      <c r="E48" s="7">
        <v>43878</v>
      </c>
    </row>
    <row r="49" spans="1:5" x14ac:dyDescent="0.3">
      <c r="A49" s="6" t="s">
        <v>104</v>
      </c>
      <c r="B49" s="6" t="s">
        <v>105</v>
      </c>
      <c r="C49" s="6" t="s">
        <v>13</v>
      </c>
      <c r="D49" s="12">
        <f t="shared" si="0"/>
        <v>49835</v>
      </c>
      <c r="E49" s="8">
        <v>43879</v>
      </c>
    </row>
    <row r="50" spans="1:5" x14ac:dyDescent="0.3">
      <c r="A50" s="6" t="s">
        <v>106</v>
      </c>
      <c r="B50" s="6" t="s">
        <v>107</v>
      </c>
      <c r="C50" s="6" t="s">
        <v>16</v>
      </c>
      <c r="D50" s="12">
        <f t="shared" si="0"/>
        <v>94210</v>
      </c>
      <c r="E50" s="7">
        <v>43880</v>
      </c>
    </row>
    <row r="51" spans="1:5" x14ac:dyDescent="0.3">
      <c r="A51" s="6" t="s">
        <v>108</v>
      </c>
      <c r="B51" s="6" t="s">
        <v>109</v>
      </c>
      <c r="C51" s="6" t="s">
        <v>19</v>
      </c>
      <c r="D51" s="12">
        <f t="shared" si="0"/>
        <v>74659</v>
      </c>
      <c r="E51" s="8">
        <v>43881</v>
      </c>
    </row>
    <row r="52" spans="1:5" x14ac:dyDescent="0.3">
      <c r="A52" s="6" t="s">
        <v>110</v>
      </c>
      <c r="B52" s="6" t="s">
        <v>111</v>
      </c>
      <c r="C52" s="6" t="s">
        <v>7</v>
      </c>
      <c r="D52" s="12">
        <f t="shared" si="0"/>
        <v>54752</v>
      </c>
      <c r="E52" s="7">
        <v>43882</v>
      </c>
    </row>
    <row r="53" spans="1:5" x14ac:dyDescent="0.3">
      <c r="A53" s="6" t="s">
        <v>112</v>
      </c>
      <c r="B53" s="6" t="s">
        <v>113</v>
      </c>
      <c r="C53" s="6" t="s">
        <v>10</v>
      </c>
      <c r="D53" s="12">
        <f t="shared" si="0"/>
        <v>41954</v>
      </c>
      <c r="E53" s="8">
        <v>43883</v>
      </c>
    </row>
    <row r="54" spans="1:5" x14ac:dyDescent="0.3">
      <c r="A54" s="6" t="s">
        <v>114</v>
      </c>
      <c r="B54" s="6" t="s">
        <v>115</v>
      </c>
      <c r="C54" s="6" t="s">
        <v>13</v>
      </c>
      <c r="D54" s="12">
        <f t="shared" si="0"/>
        <v>49835</v>
      </c>
      <c r="E54" s="7">
        <v>43884</v>
      </c>
    </row>
    <row r="55" spans="1:5" x14ac:dyDescent="0.3">
      <c r="A55" s="6" t="s">
        <v>116</v>
      </c>
      <c r="B55" s="6" t="s">
        <v>117</v>
      </c>
      <c r="C55" s="6" t="s">
        <v>16</v>
      </c>
      <c r="D55" s="12">
        <f t="shared" si="0"/>
        <v>94210</v>
      </c>
      <c r="E55" s="8">
        <v>43885</v>
      </c>
    </row>
    <row r="56" spans="1:5" x14ac:dyDescent="0.3">
      <c r="A56" s="6" t="s">
        <v>118</v>
      </c>
      <c r="B56" s="6" t="s">
        <v>119</v>
      </c>
      <c r="C56" s="6" t="s">
        <v>19</v>
      </c>
      <c r="D56" s="12">
        <f t="shared" si="0"/>
        <v>74659</v>
      </c>
      <c r="E56" s="7">
        <v>43886</v>
      </c>
    </row>
    <row r="57" spans="1:5" x14ac:dyDescent="0.3">
      <c r="A57" s="6" t="s">
        <v>120</v>
      </c>
      <c r="B57" s="6" t="s">
        <v>121</v>
      </c>
      <c r="C57" s="6" t="s">
        <v>7</v>
      </c>
      <c r="D57" s="12">
        <f t="shared" si="0"/>
        <v>54752</v>
      </c>
      <c r="E57" s="8">
        <v>43887</v>
      </c>
    </row>
    <row r="58" spans="1:5" x14ac:dyDescent="0.3">
      <c r="A58" s="6" t="s">
        <v>122</v>
      </c>
      <c r="B58" s="6" t="s">
        <v>123</v>
      </c>
      <c r="C58" s="6" t="s">
        <v>10</v>
      </c>
      <c r="D58" s="12">
        <f t="shared" si="0"/>
        <v>41954</v>
      </c>
      <c r="E58" s="7">
        <v>43888</v>
      </c>
    </row>
    <row r="59" spans="1:5" x14ac:dyDescent="0.3">
      <c r="A59" s="6" t="s">
        <v>124</v>
      </c>
      <c r="B59" s="6" t="s">
        <v>125</v>
      </c>
      <c r="C59" s="6" t="s">
        <v>13</v>
      </c>
      <c r="D59" s="12">
        <f t="shared" si="0"/>
        <v>49835</v>
      </c>
      <c r="E59" s="8">
        <v>43889</v>
      </c>
    </row>
    <row r="60" spans="1:5" x14ac:dyDescent="0.3">
      <c r="A60" s="6" t="s">
        <v>126</v>
      </c>
      <c r="B60" s="6" t="s">
        <v>127</v>
      </c>
      <c r="C60" s="6" t="s">
        <v>16</v>
      </c>
      <c r="D60" s="12">
        <f t="shared" si="0"/>
        <v>94210</v>
      </c>
      <c r="E60" s="7">
        <v>43890</v>
      </c>
    </row>
    <row r="61" spans="1:5" x14ac:dyDescent="0.3">
      <c r="A61" s="6" t="s">
        <v>128</v>
      </c>
      <c r="B61" s="6" t="s">
        <v>129</v>
      </c>
      <c r="C61" s="6" t="s">
        <v>19</v>
      </c>
      <c r="D61" s="12">
        <f t="shared" si="0"/>
        <v>74659</v>
      </c>
      <c r="E61" s="8">
        <v>43891</v>
      </c>
    </row>
    <row r="62" spans="1:5" x14ac:dyDescent="0.3">
      <c r="A62" s="6" t="s">
        <v>130</v>
      </c>
      <c r="B62" s="6" t="s">
        <v>131</v>
      </c>
      <c r="C62" s="6" t="s">
        <v>7</v>
      </c>
      <c r="D62" s="12">
        <f t="shared" si="0"/>
        <v>54752</v>
      </c>
      <c r="E62" s="7">
        <v>43892</v>
      </c>
    </row>
    <row r="63" spans="1:5" x14ac:dyDescent="0.3">
      <c r="A63" s="6" t="s">
        <v>132</v>
      </c>
      <c r="B63" s="6" t="s">
        <v>133</v>
      </c>
      <c r="C63" s="6" t="s">
        <v>10</v>
      </c>
      <c r="D63" s="12">
        <f t="shared" si="0"/>
        <v>41954</v>
      </c>
      <c r="E63" s="8">
        <v>43893</v>
      </c>
    </row>
    <row r="64" spans="1:5" x14ac:dyDescent="0.3">
      <c r="A64" s="6" t="s">
        <v>134</v>
      </c>
      <c r="B64" s="6" t="s">
        <v>135</v>
      </c>
      <c r="C64" s="6" t="s">
        <v>13</v>
      </c>
      <c r="D64" s="12">
        <f t="shared" si="0"/>
        <v>49835</v>
      </c>
      <c r="E64" s="7">
        <v>43894</v>
      </c>
    </row>
    <row r="65" spans="1:5" x14ac:dyDescent="0.3">
      <c r="A65" s="6" t="s">
        <v>136</v>
      </c>
      <c r="B65" s="6" t="s">
        <v>137</v>
      </c>
      <c r="C65" s="6" t="s">
        <v>16</v>
      </c>
      <c r="D65" s="12">
        <f t="shared" si="0"/>
        <v>94210</v>
      </c>
      <c r="E65" s="8">
        <v>43895</v>
      </c>
    </row>
    <row r="66" spans="1:5" x14ac:dyDescent="0.3">
      <c r="A66" s="6" t="s">
        <v>138</v>
      </c>
      <c r="B66" s="6" t="s">
        <v>139</v>
      </c>
      <c r="C66" s="6" t="s">
        <v>19</v>
      </c>
      <c r="D66" s="12">
        <f t="shared" si="0"/>
        <v>74659</v>
      </c>
      <c r="E66" s="7">
        <v>43896</v>
      </c>
    </row>
    <row r="67" spans="1:5" x14ac:dyDescent="0.3">
      <c r="A67" s="6" t="s">
        <v>140</v>
      </c>
      <c r="B67" s="6" t="s">
        <v>141</v>
      </c>
      <c r="C67" s="6" t="s">
        <v>7</v>
      </c>
      <c r="D67" s="12">
        <f t="shared" si="0"/>
        <v>54752</v>
      </c>
      <c r="E67" s="8">
        <v>43897</v>
      </c>
    </row>
    <row r="68" spans="1:5" x14ac:dyDescent="0.3">
      <c r="A68" s="6" t="s">
        <v>142</v>
      </c>
      <c r="B68" s="6" t="s">
        <v>143</v>
      </c>
      <c r="C68" s="6" t="s">
        <v>10</v>
      </c>
      <c r="D68" s="12">
        <f t="shared" si="0"/>
        <v>41954</v>
      </c>
      <c r="E68" s="7">
        <v>43898</v>
      </c>
    </row>
    <row r="69" spans="1:5" x14ac:dyDescent="0.3">
      <c r="A69" s="6" t="s">
        <v>144</v>
      </c>
      <c r="B69" s="6" t="s">
        <v>145</v>
      </c>
      <c r="C69" s="6" t="s">
        <v>13</v>
      </c>
      <c r="D69" s="12">
        <f t="shared" si="0"/>
        <v>49835</v>
      </c>
      <c r="E69" s="8">
        <v>43899</v>
      </c>
    </row>
    <row r="70" spans="1:5" x14ac:dyDescent="0.3">
      <c r="A70" s="6" t="s">
        <v>146</v>
      </c>
      <c r="B70" s="6" t="s">
        <v>147</v>
      </c>
      <c r="C70" s="6" t="s">
        <v>16</v>
      </c>
      <c r="D70" s="12">
        <f>INDEX($D$2:$D$6,MATCH(C69,$C$2:$C$6,))</f>
        <v>94210</v>
      </c>
      <c r="E70" s="7">
        <v>43900</v>
      </c>
    </row>
    <row r="71" spans="1:5" x14ac:dyDescent="0.3">
      <c r="A71" s="6" t="s">
        <v>148</v>
      </c>
      <c r="B71" s="6" t="s">
        <v>149</v>
      </c>
      <c r="C71" s="6" t="s">
        <v>19</v>
      </c>
      <c r="D71" s="12">
        <f t="shared" si="0"/>
        <v>74659</v>
      </c>
      <c r="E71" s="8">
        <v>43901</v>
      </c>
    </row>
    <row r="72" spans="1:5" x14ac:dyDescent="0.3">
      <c r="A72" s="6" t="s">
        <v>150</v>
      </c>
      <c r="B72" s="6" t="s">
        <v>151</v>
      </c>
      <c r="C72" s="6" t="s">
        <v>7</v>
      </c>
      <c r="D72" s="12">
        <f t="shared" ref="D72:D105" si="1">INDEX($D$2:$D$6,MATCH(C71,$C$2:$C$6,))</f>
        <v>54752</v>
      </c>
      <c r="E72" s="7">
        <v>43902</v>
      </c>
    </row>
    <row r="73" spans="1:5" x14ac:dyDescent="0.3">
      <c r="A73" s="6" t="s">
        <v>152</v>
      </c>
      <c r="B73" s="6" t="s">
        <v>153</v>
      </c>
      <c r="C73" s="6" t="s">
        <v>10</v>
      </c>
      <c r="D73" s="12">
        <f t="shared" si="1"/>
        <v>41954</v>
      </c>
      <c r="E73" s="8">
        <v>43903</v>
      </c>
    </row>
    <row r="74" spans="1:5" x14ac:dyDescent="0.3">
      <c r="A74" s="6" t="s">
        <v>154</v>
      </c>
      <c r="B74" s="6" t="s">
        <v>155</v>
      </c>
      <c r="C74" s="6" t="s">
        <v>13</v>
      </c>
      <c r="D74" s="12">
        <f t="shared" si="1"/>
        <v>49835</v>
      </c>
      <c r="E74" s="7">
        <v>43904</v>
      </c>
    </row>
    <row r="75" spans="1:5" x14ac:dyDescent="0.3">
      <c r="A75" s="6" t="s">
        <v>156</v>
      </c>
      <c r="B75" s="6" t="s">
        <v>157</v>
      </c>
      <c r="C75" s="6" t="s">
        <v>16</v>
      </c>
      <c r="D75" s="12">
        <f t="shared" si="1"/>
        <v>94210</v>
      </c>
      <c r="E75" s="8">
        <v>43905</v>
      </c>
    </row>
    <row r="76" spans="1:5" x14ac:dyDescent="0.3">
      <c r="A76" s="6" t="s">
        <v>158</v>
      </c>
      <c r="B76" s="6" t="s">
        <v>159</v>
      </c>
      <c r="C76" s="6" t="s">
        <v>19</v>
      </c>
      <c r="D76" s="12">
        <f t="shared" si="1"/>
        <v>74659</v>
      </c>
      <c r="E76" s="7">
        <v>43906</v>
      </c>
    </row>
    <row r="77" spans="1:5" x14ac:dyDescent="0.3">
      <c r="A77" s="6" t="s">
        <v>160</v>
      </c>
      <c r="B77" s="6" t="s">
        <v>161</v>
      </c>
      <c r="C77" s="6" t="s">
        <v>7</v>
      </c>
      <c r="D77" s="12">
        <f t="shared" si="1"/>
        <v>54752</v>
      </c>
      <c r="E77" s="8">
        <v>43907</v>
      </c>
    </row>
    <row r="78" spans="1:5" x14ac:dyDescent="0.3">
      <c r="A78" s="6" t="s">
        <v>162</v>
      </c>
      <c r="B78" s="6" t="s">
        <v>163</v>
      </c>
      <c r="C78" s="6" t="s">
        <v>10</v>
      </c>
      <c r="D78" s="12">
        <f t="shared" si="1"/>
        <v>41954</v>
      </c>
      <c r="E78" s="7">
        <v>43908</v>
      </c>
    </row>
    <row r="79" spans="1:5" x14ac:dyDescent="0.3">
      <c r="A79" s="6" t="s">
        <v>164</v>
      </c>
      <c r="B79" s="6" t="s">
        <v>165</v>
      </c>
      <c r="C79" s="6" t="s">
        <v>13</v>
      </c>
      <c r="D79" s="12">
        <f t="shared" si="1"/>
        <v>49835</v>
      </c>
      <c r="E79" s="8">
        <v>43909</v>
      </c>
    </row>
    <row r="80" spans="1:5" x14ac:dyDescent="0.3">
      <c r="A80" s="6" t="s">
        <v>166</v>
      </c>
      <c r="B80" s="6" t="s">
        <v>167</v>
      </c>
      <c r="C80" s="6" t="s">
        <v>16</v>
      </c>
      <c r="D80" s="12">
        <f t="shared" si="1"/>
        <v>94210</v>
      </c>
      <c r="E80" s="7">
        <v>43910</v>
      </c>
    </row>
    <row r="81" spans="1:17" x14ac:dyDescent="0.3">
      <c r="A81" s="6" t="s">
        <v>168</v>
      </c>
      <c r="B81" s="6" t="s">
        <v>169</v>
      </c>
      <c r="C81" s="6" t="s">
        <v>19</v>
      </c>
      <c r="D81" s="12">
        <f t="shared" si="1"/>
        <v>74659</v>
      </c>
      <c r="E81" s="8">
        <v>43911</v>
      </c>
    </row>
    <row r="82" spans="1:17" x14ac:dyDescent="0.3">
      <c r="A82" s="6" t="s">
        <v>170</v>
      </c>
      <c r="B82" s="6" t="s">
        <v>171</v>
      </c>
      <c r="C82" s="6" t="s">
        <v>7</v>
      </c>
      <c r="D82" s="12">
        <f t="shared" si="1"/>
        <v>54752</v>
      </c>
      <c r="E82" s="7">
        <v>43912</v>
      </c>
    </row>
    <row r="83" spans="1:17" ht="18" x14ac:dyDescent="0.35">
      <c r="A83" s="6" t="s">
        <v>172</v>
      </c>
      <c r="B83" s="6" t="s">
        <v>173</v>
      </c>
      <c r="C83" s="6" t="s">
        <v>10</v>
      </c>
      <c r="D83" s="12">
        <f t="shared" si="1"/>
        <v>41954</v>
      </c>
      <c r="E83" s="8">
        <v>43913</v>
      </c>
      <c r="H83" s="15" t="s">
        <v>174</v>
      </c>
      <c r="I83" s="15" t="s">
        <v>175</v>
      </c>
      <c r="J83" s="16" t="s">
        <v>176</v>
      </c>
      <c r="K83" s="16" t="s">
        <v>176</v>
      </c>
      <c r="L83" s="16" t="s">
        <v>176</v>
      </c>
      <c r="M83" s="15" t="s">
        <v>177</v>
      </c>
      <c r="N83" s="15" t="s">
        <v>177</v>
      </c>
      <c r="O83" s="15" t="s">
        <v>178</v>
      </c>
      <c r="P83" s="15" t="s">
        <v>179</v>
      </c>
      <c r="Q83" s="15" t="s">
        <v>179</v>
      </c>
    </row>
    <row r="84" spans="1:17" x14ac:dyDescent="0.3">
      <c r="A84" s="6" t="s">
        <v>180</v>
      </c>
      <c r="B84" s="6" t="s">
        <v>181</v>
      </c>
      <c r="C84" s="6" t="s">
        <v>13</v>
      </c>
      <c r="D84" s="12">
        <f t="shared" si="1"/>
        <v>49835</v>
      </c>
      <c r="E84" s="7">
        <v>43914</v>
      </c>
      <c r="H84" t="s">
        <v>182</v>
      </c>
      <c r="I84" t="s">
        <v>183</v>
      </c>
      <c r="J84" s="3">
        <v>54</v>
      </c>
      <c r="K84" s="3">
        <v>67</v>
      </c>
      <c r="L84" s="3">
        <v>47</v>
      </c>
      <c r="M84" s="3" t="str">
        <f>IF(AND(J84&gt;=45,K84&gt;=45,L84&gt;=45),"Pass","Fail")</f>
        <v>Pass</v>
      </c>
      <c r="N84" s="3" t="str">
        <f>IF(OR(J84&lt;45,K84&lt;45,L84&lt;45),"Fail","Pass")</f>
        <v>Pass</v>
      </c>
      <c r="O84" s="4" cm="1">
        <f t="array" ref="O84">SUM(J84:L84/300*100)</f>
        <v>56</v>
      </c>
      <c r="P84" t="str">
        <f>IF(O92&gt;=90,"A++",IF(O92&gt;=80,"A+",IF(O92&gt;70,"A",IF(O92&gt;=60,"B",IF(O92&gt;=45,"C","D")))))</f>
        <v>C</v>
      </c>
      <c r="Q84" t="str">
        <f>IF(M84="Fail","Fail",IF(O84&gt;=90,"A++",IF(O84&gt;=80,"A+",IF(O84&gt;=70,"A",IF(O84&gt;=60,"B",IF(O84&gt;=45,"C","Fail"))))))</f>
        <v>C</v>
      </c>
    </row>
    <row r="85" spans="1:17" x14ac:dyDescent="0.3">
      <c r="A85" s="6" t="s">
        <v>184</v>
      </c>
      <c r="B85" s="6" t="s">
        <v>185</v>
      </c>
      <c r="C85" s="6" t="s">
        <v>16</v>
      </c>
      <c r="D85" s="12">
        <f t="shared" si="1"/>
        <v>94210</v>
      </c>
      <c r="E85" s="8">
        <v>43915</v>
      </c>
      <c r="H85" t="s">
        <v>186</v>
      </c>
      <c r="I85" t="s">
        <v>187</v>
      </c>
      <c r="J85" s="3">
        <v>74</v>
      </c>
      <c r="K85" s="3">
        <v>56</v>
      </c>
      <c r="L85" s="3">
        <v>22</v>
      </c>
      <c r="M85" s="3" t="str">
        <f t="shared" ref="M85:M100" si="2">IF(AND(J85&gt;=45,K85&gt;=45,L85&gt;=45),"Pass","Fail")</f>
        <v>Fail</v>
      </c>
      <c r="N85" s="3" t="str">
        <f t="shared" ref="N85:N100" si="3">IF(OR(J85&lt;45,K85&lt;45,L85&lt;45),"Fail","Pass")</f>
        <v>Fail</v>
      </c>
      <c r="O85" s="4" cm="1">
        <f t="array" ref="O85">SUM(J85:L85/300*100)</f>
        <v>50.666666666666671</v>
      </c>
      <c r="P85" t="str">
        <f t="shared" ref="P85:P100" si="4">IF(O85&gt;=90,"A++",IF(O85&gt;=80,"A+",IF(O85&gt;70,"A",IF(O85&gt;=60,"B",IF(O85&gt;=45,"C","D")))))</f>
        <v>C</v>
      </c>
      <c r="Q85" t="str">
        <f t="shared" ref="Q85:Q100" si="5">IF(M85="Fail","Fail",IF(O85&gt;=90,"A++",IF(O85&gt;=80,"A+",IF(O85&gt;=70,"A",IF(O85&gt;=60,"B",IF(O85&gt;=45,"C","Fail"))))))</f>
        <v>Fail</v>
      </c>
    </row>
    <row r="86" spans="1:17" x14ac:dyDescent="0.3">
      <c r="A86" s="6" t="s">
        <v>188</v>
      </c>
      <c r="B86" s="6" t="s">
        <v>189</v>
      </c>
      <c r="C86" s="6" t="s">
        <v>19</v>
      </c>
      <c r="D86" s="12">
        <f t="shared" si="1"/>
        <v>74659</v>
      </c>
      <c r="E86" s="7">
        <v>43916</v>
      </c>
      <c r="H86" t="s">
        <v>182</v>
      </c>
      <c r="I86" t="s">
        <v>183</v>
      </c>
      <c r="J86" s="3">
        <v>96</v>
      </c>
      <c r="K86" s="3">
        <v>15</v>
      </c>
      <c r="L86" s="3">
        <v>83</v>
      </c>
      <c r="M86" s="3" t="str">
        <f t="shared" si="2"/>
        <v>Fail</v>
      </c>
      <c r="N86" s="3" t="str">
        <f t="shared" si="3"/>
        <v>Fail</v>
      </c>
      <c r="O86" s="4" cm="1">
        <f t="array" ref="O86">SUM(J86:L86/300*100)</f>
        <v>64.666666666666671</v>
      </c>
      <c r="P86" t="str">
        <f t="shared" si="4"/>
        <v>B</v>
      </c>
      <c r="Q86" t="str">
        <f t="shared" si="5"/>
        <v>Fail</v>
      </c>
    </row>
    <row r="87" spans="1:17" x14ac:dyDescent="0.3">
      <c r="A87" s="6" t="s">
        <v>190</v>
      </c>
      <c r="B87" s="6" t="s">
        <v>191</v>
      </c>
      <c r="C87" s="6" t="s">
        <v>7</v>
      </c>
      <c r="D87" s="12">
        <f t="shared" si="1"/>
        <v>54752</v>
      </c>
      <c r="E87" s="8">
        <v>43917</v>
      </c>
      <c r="H87" t="s">
        <v>186</v>
      </c>
      <c r="I87" t="s">
        <v>187</v>
      </c>
      <c r="J87" s="3">
        <v>49</v>
      </c>
      <c r="K87" s="3">
        <v>99</v>
      </c>
      <c r="L87" s="3">
        <v>54</v>
      </c>
      <c r="M87" s="3" t="str">
        <f t="shared" si="2"/>
        <v>Pass</v>
      </c>
      <c r="N87" s="3" t="str">
        <f t="shared" si="3"/>
        <v>Pass</v>
      </c>
      <c r="O87" s="4" cm="1">
        <f t="array" ref="O87">SUM(J87:L87/300*100)</f>
        <v>67.333333333333329</v>
      </c>
      <c r="P87" t="str">
        <f t="shared" si="4"/>
        <v>B</v>
      </c>
      <c r="Q87" t="str">
        <f t="shared" si="5"/>
        <v>B</v>
      </c>
    </row>
    <row r="88" spans="1:17" x14ac:dyDescent="0.3">
      <c r="A88" s="6" t="s">
        <v>192</v>
      </c>
      <c r="B88" s="6" t="s">
        <v>193</v>
      </c>
      <c r="C88" s="6" t="s">
        <v>10</v>
      </c>
      <c r="D88" s="12">
        <f t="shared" si="1"/>
        <v>41954</v>
      </c>
      <c r="E88" s="7">
        <v>43918</v>
      </c>
      <c r="H88" t="s">
        <v>182</v>
      </c>
      <c r="I88" t="s">
        <v>183</v>
      </c>
      <c r="J88" s="3">
        <v>28</v>
      </c>
      <c r="K88" s="3">
        <v>48</v>
      </c>
      <c r="L88" s="3">
        <v>79</v>
      </c>
      <c r="M88" s="3" t="str">
        <f t="shared" si="2"/>
        <v>Fail</v>
      </c>
      <c r="N88" s="3" t="str">
        <f t="shared" si="3"/>
        <v>Fail</v>
      </c>
      <c r="O88" s="4" cm="1">
        <f t="array" ref="O88">SUM(J88:L88/300*100)</f>
        <v>51.666666666666671</v>
      </c>
      <c r="P88" t="str">
        <f t="shared" si="4"/>
        <v>C</v>
      </c>
      <c r="Q88" t="str">
        <f t="shared" si="5"/>
        <v>Fail</v>
      </c>
    </row>
    <row r="89" spans="1:17" x14ac:dyDescent="0.3">
      <c r="A89" s="6" t="s">
        <v>194</v>
      </c>
      <c r="B89" s="6" t="s">
        <v>195</v>
      </c>
      <c r="C89" s="6" t="s">
        <v>13</v>
      </c>
      <c r="D89" s="12">
        <f t="shared" si="1"/>
        <v>49835</v>
      </c>
      <c r="E89" s="8">
        <v>43919</v>
      </c>
      <c r="H89" t="s">
        <v>186</v>
      </c>
      <c r="I89" t="s">
        <v>187</v>
      </c>
      <c r="J89" s="3">
        <v>10</v>
      </c>
      <c r="K89" s="3">
        <v>89</v>
      </c>
      <c r="L89" s="3">
        <v>40</v>
      </c>
      <c r="M89" s="3" t="str">
        <f t="shared" si="2"/>
        <v>Fail</v>
      </c>
      <c r="N89" s="3" t="str">
        <f t="shared" si="3"/>
        <v>Fail</v>
      </c>
      <c r="O89" s="4" cm="1">
        <f t="array" ref="O89">SUM(J89:L89/300*100)</f>
        <v>46.333333333333336</v>
      </c>
      <c r="P89" t="str">
        <f t="shared" si="4"/>
        <v>C</v>
      </c>
      <c r="Q89" t="str">
        <f t="shared" si="5"/>
        <v>Fail</v>
      </c>
    </row>
    <row r="90" spans="1:17" x14ac:dyDescent="0.3">
      <c r="A90" s="6" t="s">
        <v>196</v>
      </c>
      <c r="B90" s="6" t="s">
        <v>197</v>
      </c>
      <c r="C90" s="6" t="s">
        <v>16</v>
      </c>
      <c r="D90" s="12">
        <f t="shared" si="1"/>
        <v>94210</v>
      </c>
      <c r="E90" s="7">
        <v>43920</v>
      </c>
      <c r="H90" t="s">
        <v>182</v>
      </c>
      <c r="I90" t="s">
        <v>183</v>
      </c>
      <c r="J90" s="3">
        <v>60</v>
      </c>
      <c r="K90" s="3">
        <v>54</v>
      </c>
      <c r="L90" s="3">
        <v>85</v>
      </c>
      <c r="M90" s="3" t="str">
        <f t="shared" si="2"/>
        <v>Pass</v>
      </c>
      <c r="N90" s="3" t="str">
        <f t="shared" si="3"/>
        <v>Pass</v>
      </c>
      <c r="O90" s="4" cm="1">
        <f t="array" ref="O90">SUM(J90:L90/300*100)</f>
        <v>66.333333333333329</v>
      </c>
      <c r="P90" t="str">
        <f t="shared" si="4"/>
        <v>B</v>
      </c>
      <c r="Q90" t="str">
        <f t="shared" si="5"/>
        <v>B</v>
      </c>
    </row>
    <row r="91" spans="1:17" x14ac:dyDescent="0.3">
      <c r="A91" s="6" t="s">
        <v>198</v>
      </c>
      <c r="B91" s="6" t="s">
        <v>199</v>
      </c>
      <c r="C91" s="6" t="s">
        <v>19</v>
      </c>
      <c r="D91" s="12">
        <f t="shared" si="1"/>
        <v>74659</v>
      </c>
      <c r="E91" s="8">
        <v>43921</v>
      </c>
      <c r="H91" t="s">
        <v>186</v>
      </c>
      <c r="I91" t="s">
        <v>187</v>
      </c>
      <c r="J91" s="3">
        <v>76</v>
      </c>
      <c r="K91" s="3">
        <v>96</v>
      </c>
      <c r="L91" s="3">
        <v>71</v>
      </c>
      <c r="M91" s="3" t="str">
        <f t="shared" si="2"/>
        <v>Pass</v>
      </c>
      <c r="N91" s="3" t="str">
        <f t="shared" si="3"/>
        <v>Pass</v>
      </c>
      <c r="O91" s="4" cm="1">
        <f t="array" ref="O91">SUM(J91:L91/300*100)</f>
        <v>81</v>
      </c>
      <c r="P91" t="str">
        <f t="shared" si="4"/>
        <v>A+</v>
      </c>
      <c r="Q91" t="str">
        <f t="shared" si="5"/>
        <v>A+</v>
      </c>
    </row>
    <row r="92" spans="1:17" x14ac:dyDescent="0.3">
      <c r="A92" s="6" t="s">
        <v>200</v>
      </c>
      <c r="B92" s="6" t="s">
        <v>201</v>
      </c>
      <c r="C92" s="6" t="s">
        <v>7</v>
      </c>
      <c r="D92" s="12">
        <f t="shared" si="1"/>
        <v>54752</v>
      </c>
      <c r="E92" s="7">
        <v>43922</v>
      </c>
      <c r="H92" t="s">
        <v>182</v>
      </c>
      <c r="I92" t="s">
        <v>183</v>
      </c>
      <c r="J92" s="3">
        <v>45</v>
      </c>
      <c r="K92" s="3">
        <v>46</v>
      </c>
      <c r="L92" s="3">
        <v>48</v>
      </c>
      <c r="M92" s="3" t="str">
        <f t="shared" si="2"/>
        <v>Pass</v>
      </c>
      <c r="N92" s="3" t="str">
        <f t="shared" si="3"/>
        <v>Pass</v>
      </c>
      <c r="O92" s="4" cm="1">
        <f t="array" ref="O92">SUM(J92:L92/300*100)</f>
        <v>46.333333333333329</v>
      </c>
      <c r="P92" t="str">
        <f>IF(O92&gt;=90,"A++",IF(O92&gt;=80,"A+",IF(O92&gt;70,"A",IF(O92&gt;=60,"B",IF(O92&gt;=45,"C","D")))))</f>
        <v>C</v>
      </c>
      <c r="Q92" t="str">
        <f t="shared" si="5"/>
        <v>C</v>
      </c>
    </row>
    <row r="93" spans="1:17" x14ac:dyDescent="0.3">
      <c r="A93" s="6" t="s">
        <v>202</v>
      </c>
      <c r="B93" s="6" t="s">
        <v>203</v>
      </c>
      <c r="C93" s="6" t="s">
        <v>10</v>
      </c>
      <c r="D93" s="12">
        <f t="shared" si="1"/>
        <v>41954</v>
      </c>
      <c r="E93" s="8">
        <v>43923</v>
      </c>
      <c r="H93" t="s">
        <v>186</v>
      </c>
      <c r="I93" t="s">
        <v>187</v>
      </c>
      <c r="J93" s="3">
        <v>80</v>
      </c>
      <c r="K93" s="3">
        <v>66</v>
      </c>
      <c r="L93" s="3">
        <v>56</v>
      </c>
      <c r="M93" s="3" t="str">
        <f t="shared" si="2"/>
        <v>Pass</v>
      </c>
      <c r="N93" s="3" t="str">
        <f t="shared" si="3"/>
        <v>Pass</v>
      </c>
      <c r="O93" s="4" cm="1">
        <f t="array" ref="O93">SUM(J93:L93/300*100)</f>
        <v>67.333333333333343</v>
      </c>
      <c r="P93" t="str">
        <f t="shared" si="4"/>
        <v>B</v>
      </c>
      <c r="Q93" t="str">
        <f t="shared" si="5"/>
        <v>B</v>
      </c>
    </row>
    <row r="94" spans="1:17" x14ac:dyDescent="0.3">
      <c r="A94" s="6" t="s">
        <v>204</v>
      </c>
      <c r="B94" s="6" t="s">
        <v>205</v>
      </c>
      <c r="C94" s="6" t="s">
        <v>13</v>
      </c>
      <c r="D94" s="12">
        <f t="shared" si="1"/>
        <v>49835</v>
      </c>
      <c r="E94" s="7">
        <v>43924</v>
      </c>
      <c r="H94" t="s">
        <v>182</v>
      </c>
      <c r="I94" t="s">
        <v>183</v>
      </c>
      <c r="J94" s="3">
        <v>52</v>
      </c>
      <c r="K94" s="3">
        <v>62</v>
      </c>
      <c r="L94" s="3">
        <v>47</v>
      </c>
      <c r="M94" s="3" t="str">
        <f t="shared" si="2"/>
        <v>Pass</v>
      </c>
      <c r="N94" s="3" t="str">
        <f t="shared" si="3"/>
        <v>Pass</v>
      </c>
      <c r="O94" s="4" cm="1">
        <f t="array" ref="O94">SUM(J94:L94/300*100)</f>
        <v>53.666666666666671</v>
      </c>
      <c r="P94" t="str">
        <f t="shared" si="4"/>
        <v>C</v>
      </c>
      <c r="Q94" t="str">
        <f t="shared" si="5"/>
        <v>C</v>
      </c>
    </row>
    <row r="95" spans="1:17" x14ac:dyDescent="0.3">
      <c r="A95" s="6" t="s">
        <v>206</v>
      </c>
      <c r="B95" s="6" t="s">
        <v>207</v>
      </c>
      <c r="C95" s="6" t="s">
        <v>16</v>
      </c>
      <c r="D95" s="12">
        <f t="shared" si="1"/>
        <v>94210</v>
      </c>
      <c r="E95" s="8">
        <v>43925</v>
      </c>
      <c r="H95" t="s">
        <v>186</v>
      </c>
      <c r="I95" t="s">
        <v>187</v>
      </c>
      <c r="J95" s="3">
        <v>89</v>
      </c>
      <c r="K95" s="3">
        <v>53</v>
      </c>
      <c r="L95" s="3">
        <v>22</v>
      </c>
      <c r="M95" s="3" t="str">
        <f t="shared" si="2"/>
        <v>Fail</v>
      </c>
      <c r="N95" s="3" t="str">
        <f t="shared" si="3"/>
        <v>Fail</v>
      </c>
      <c r="O95" s="4" cm="1">
        <f t="array" ref="O95">SUM(J95:L95/300*100)</f>
        <v>54.666666666666671</v>
      </c>
      <c r="P95" t="str">
        <f t="shared" si="4"/>
        <v>C</v>
      </c>
      <c r="Q95" t="str">
        <f t="shared" si="5"/>
        <v>Fail</v>
      </c>
    </row>
    <row r="96" spans="1:17" x14ac:dyDescent="0.3">
      <c r="A96" s="6" t="s">
        <v>208</v>
      </c>
      <c r="B96" s="6" t="s">
        <v>209</v>
      </c>
      <c r="C96" s="6" t="s">
        <v>19</v>
      </c>
      <c r="D96" s="12">
        <f t="shared" si="1"/>
        <v>74659</v>
      </c>
      <c r="E96" s="7">
        <v>43926</v>
      </c>
      <c r="H96" t="s">
        <v>182</v>
      </c>
      <c r="I96" t="s">
        <v>183</v>
      </c>
      <c r="J96" s="3">
        <v>40</v>
      </c>
      <c r="K96" s="3">
        <v>78</v>
      </c>
      <c r="L96" s="3">
        <v>49</v>
      </c>
      <c r="M96" s="3" t="str">
        <f t="shared" si="2"/>
        <v>Fail</v>
      </c>
      <c r="N96" s="3" t="str">
        <f t="shared" si="3"/>
        <v>Fail</v>
      </c>
      <c r="O96" s="4" cm="1">
        <f t="array" ref="O96">SUM(J96:L96/300*100)</f>
        <v>55.666666666666671</v>
      </c>
      <c r="P96" t="str">
        <f t="shared" si="4"/>
        <v>C</v>
      </c>
      <c r="Q96" t="str">
        <f t="shared" si="5"/>
        <v>Fail</v>
      </c>
    </row>
    <row r="97" spans="1:17" x14ac:dyDescent="0.3">
      <c r="A97" s="6" t="s">
        <v>210</v>
      </c>
      <c r="B97" s="6" t="s">
        <v>211</v>
      </c>
      <c r="C97" s="6" t="s">
        <v>7</v>
      </c>
      <c r="D97" s="12">
        <f t="shared" si="1"/>
        <v>54752</v>
      </c>
      <c r="E97" s="8">
        <v>43927</v>
      </c>
      <c r="H97" t="s">
        <v>186</v>
      </c>
      <c r="I97" t="s">
        <v>187</v>
      </c>
      <c r="J97" s="3">
        <v>82</v>
      </c>
      <c r="K97" s="3">
        <v>20</v>
      </c>
      <c r="L97" s="3">
        <v>73</v>
      </c>
      <c r="M97" s="3" t="str">
        <f t="shared" si="2"/>
        <v>Fail</v>
      </c>
      <c r="N97" s="3" t="str">
        <f t="shared" si="3"/>
        <v>Fail</v>
      </c>
      <c r="O97" s="4" cm="1">
        <f t="array" ref="O97">SUM(J97:L97/300*100)</f>
        <v>58.333333333333336</v>
      </c>
      <c r="P97" t="str">
        <f t="shared" si="4"/>
        <v>C</v>
      </c>
      <c r="Q97" t="str">
        <f t="shared" si="5"/>
        <v>Fail</v>
      </c>
    </row>
    <row r="98" spans="1:17" x14ac:dyDescent="0.3">
      <c r="A98" s="6" t="s">
        <v>212</v>
      </c>
      <c r="B98" s="6" t="s">
        <v>213</v>
      </c>
      <c r="C98" s="6" t="s">
        <v>10</v>
      </c>
      <c r="D98" s="12">
        <f t="shared" si="1"/>
        <v>41954</v>
      </c>
      <c r="E98" s="7">
        <v>43928</v>
      </c>
      <c r="H98" t="s">
        <v>182</v>
      </c>
      <c r="I98" t="s">
        <v>183</v>
      </c>
      <c r="J98" s="3">
        <v>52</v>
      </c>
      <c r="K98" s="3">
        <v>46</v>
      </c>
      <c r="L98" s="3">
        <v>58</v>
      </c>
      <c r="M98" s="3" t="str">
        <f t="shared" si="2"/>
        <v>Pass</v>
      </c>
      <c r="N98" s="3" t="str">
        <f t="shared" si="3"/>
        <v>Pass</v>
      </c>
      <c r="O98" s="4" cm="1">
        <f t="array" ref="O98">SUM(J98:L98/300*100)</f>
        <v>52</v>
      </c>
      <c r="P98" t="s">
        <v>214</v>
      </c>
      <c r="Q98" t="str">
        <f t="shared" si="5"/>
        <v>C</v>
      </c>
    </row>
    <row r="99" spans="1:17" x14ac:dyDescent="0.3">
      <c r="A99" s="6" t="s">
        <v>215</v>
      </c>
      <c r="B99" s="6" t="s">
        <v>216</v>
      </c>
      <c r="C99" s="6" t="s">
        <v>13</v>
      </c>
      <c r="D99" s="12">
        <f t="shared" si="1"/>
        <v>49835</v>
      </c>
      <c r="E99" s="8">
        <v>43929</v>
      </c>
      <c r="H99" t="s">
        <v>186</v>
      </c>
      <c r="I99" t="s">
        <v>187</v>
      </c>
      <c r="J99" s="3">
        <v>21</v>
      </c>
      <c r="K99" s="3">
        <v>69</v>
      </c>
      <c r="L99" s="3">
        <v>40</v>
      </c>
      <c r="M99" s="3" t="str">
        <f t="shared" si="2"/>
        <v>Fail</v>
      </c>
      <c r="N99" s="3" t="str">
        <f t="shared" si="3"/>
        <v>Fail</v>
      </c>
      <c r="O99" s="4" cm="1">
        <f t="array" ref="O99">SUM(J99:L99/300*100)</f>
        <v>43.333333333333336</v>
      </c>
      <c r="P99" t="str">
        <f t="shared" si="4"/>
        <v>D</v>
      </c>
      <c r="Q99" t="str">
        <f t="shared" si="5"/>
        <v>Fail</v>
      </c>
    </row>
    <row r="100" spans="1:17" x14ac:dyDescent="0.3">
      <c r="A100" s="6" t="s">
        <v>217</v>
      </c>
      <c r="B100" s="6" t="s">
        <v>218</v>
      </c>
      <c r="C100" s="6" t="s">
        <v>16</v>
      </c>
      <c r="D100" s="12">
        <f t="shared" si="1"/>
        <v>94210</v>
      </c>
      <c r="E100" s="7">
        <v>43930</v>
      </c>
      <c r="H100" t="s">
        <v>182</v>
      </c>
      <c r="I100" t="s">
        <v>183</v>
      </c>
      <c r="J100" s="3">
        <v>14</v>
      </c>
      <c r="K100" s="3">
        <v>16</v>
      </c>
      <c r="L100" s="3">
        <v>91</v>
      </c>
      <c r="M100" s="3" t="str">
        <f t="shared" si="2"/>
        <v>Fail</v>
      </c>
      <c r="N100" s="3" t="str">
        <f t="shared" si="3"/>
        <v>Fail</v>
      </c>
      <c r="O100" s="4" cm="1">
        <f t="array" ref="O100">SUM(J100:L100/300*100)</f>
        <v>40.333333333333336</v>
      </c>
      <c r="P100" t="str">
        <f t="shared" si="4"/>
        <v>D</v>
      </c>
      <c r="Q100" t="str">
        <f t="shared" si="5"/>
        <v>Fail</v>
      </c>
    </row>
    <row r="101" spans="1:17" x14ac:dyDescent="0.3">
      <c r="A101" s="6" t="s">
        <v>219</v>
      </c>
      <c r="B101" s="6" t="s">
        <v>220</v>
      </c>
      <c r="C101" s="6" t="s">
        <v>19</v>
      </c>
      <c r="D101" s="12">
        <f t="shared" si="1"/>
        <v>74659</v>
      </c>
      <c r="E101" s="8">
        <v>43931</v>
      </c>
      <c r="M101" s="3"/>
      <c r="N101" s="3"/>
      <c r="O101" s="3"/>
    </row>
    <row r="102" spans="1:17" x14ac:dyDescent="0.3">
      <c r="A102" s="6" t="s">
        <v>221</v>
      </c>
      <c r="B102" s="6" t="s">
        <v>222</v>
      </c>
      <c r="C102" s="6" t="s">
        <v>7</v>
      </c>
      <c r="D102" s="12">
        <f t="shared" si="1"/>
        <v>54752</v>
      </c>
      <c r="E102" s="7">
        <v>43932</v>
      </c>
      <c r="M102" s="3"/>
      <c r="N102" s="3"/>
      <c r="O102" s="3"/>
    </row>
    <row r="103" spans="1:17" x14ac:dyDescent="0.3">
      <c r="A103" s="6" t="s">
        <v>223</v>
      </c>
      <c r="B103" s="6" t="s">
        <v>224</v>
      </c>
      <c r="C103" s="6" t="s">
        <v>10</v>
      </c>
      <c r="D103" s="12">
        <f t="shared" si="1"/>
        <v>41954</v>
      </c>
      <c r="E103" s="8">
        <v>43933</v>
      </c>
      <c r="L103" s="14" t="s">
        <v>225</v>
      </c>
      <c r="M103" s="3"/>
      <c r="N103" s="3"/>
      <c r="O103" s="3"/>
    </row>
    <row r="104" spans="1:17" x14ac:dyDescent="0.3">
      <c r="A104" s="6" t="s">
        <v>226</v>
      </c>
      <c r="B104" s="6" t="s">
        <v>227</v>
      </c>
      <c r="C104" s="6" t="s">
        <v>13</v>
      </c>
      <c r="D104" s="12">
        <f t="shared" si="1"/>
        <v>49835</v>
      </c>
      <c r="E104" s="7">
        <v>43934</v>
      </c>
      <c r="M104" s="3"/>
      <c r="N104" s="3"/>
      <c r="O104" s="3"/>
    </row>
    <row r="105" spans="1:17" x14ac:dyDescent="0.3">
      <c r="A105" s="6" t="s">
        <v>228</v>
      </c>
      <c r="B105" s="6" t="s">
        <v>229</v>
      </c>
      <c r="C105" s="6" t="s">
        <v>16</v>
      </c>
      <c r="D105" s="12">
        <f t="shared" si="1"/>
        <v>94210</v>
      </c>
      <c r="E105" s="8">
        <v>43935</v>
      </c>
      <c r="M105" s="3"/>
      <c r="N105" s="3"/>
      <c r="O105" s="3"/>
    </row>
    <row r="106" spans="1:17" x14ac:dyDescent="0.3">
      <c r="A106" s="6"/>
      <c r="B106" s="6"/>
      <c r="C106" s="6" t="s">
        <v>230</v>
      </c>
      <c r="D106" s="12">
        <f>SUM(D2:D105)</f>
        <v>6548951</v>
      </c>
      <c r="E106" s="10"/>
    </row>
    <row r="108" spans="1:17" x14ac:dyDescent="0.3">
      <c r="M108" s="1"/>
    </row>
    <row r="109" spans="1:17" x14ac:dyDescent="0.3">
      <c r="M109" s="4"/>
    </row>
    <row r="110" spans="1:17" x14ac:dyDescent="0.3">
      <c r="M110" s="4"/>
    </row>
    <row r="111" spans="1:17" x14ac:dyDescent="0.3">
      <c r="M111" s="4"/>
    </row>
    <row r="112" spans="1:17" x14ac:dyDescent="0.3">
      <c r="M112" s="4"/>
    </row>
    <row r="113" spans="13:13" x14ac:dyDescent="0.3">
      <c r="M113" s="4"/>
    </row>
    <row r="114" spans="13:13" x14ac:dyDescent="0.3">
      <c r="M114" s="4"/>
    </row>
    <row r="115" spans="13:13" x14ac:dyDescent="0.3">
      <c r="M115" s="4"/>
    </row>
    <row r="116" spans="13:13" x14ac:dyDescent="0.3">
      <c r="M116" s="4"/>
    </row>
    <row r="117" spans="13:13" x14ac:dyDescent="0.3">
      <c r="M117" s="4"/>
    </row>
    <row r="118" spans="13:13" x14ac:dyDescent="0.3">
      <c r="M118" s="4"/>
    </row>
    <row r="119" spans="13:13" x14ac:dyDescent="0.3">
      <c r="M119" s="4"/>
    </row>
    <row r="120" spans="13:13" x14ac:dyDescent="0.3">
      <c r="M120" s="4"/>
    </row>
    <row r="121" spans="13:13" x14ac:dyDescent="0.3">
      <c r="M121" s="4"/>
    </row>
    <row r="122" spans="13:13" x14ac:dyDescent="0.3">
      <c r="M122" s="4"/>
    </row>
    <row r="123" spans="13:13" x14ac:dyDescent="0.3">
      <c r="M123" s="4"/>
    </row>
    <row r="124" spans="13:13" x14ac:dyDescent="0.3">
      <c r="M124" s="4"/>
    </row>
    <row r="125" spans="13:13" x14ac:dyDescent="0.3">
      <c r="M125" s="4"/>
    </row>
  </sheetData>
  <autoFilter ref="A1:N106" xr:uid="{6171E8E5-A418-43C4-B753-4CF5293B23DC}"/>
  <phoneticPr fontId="2" type="noConversion"/>
  <conditionalFormatting sqref="C1:C1048576">
    <cfRule type="expression" dxfId="6" priority="3">
      <formula>$C2="HR"</formula>
    </cfRule>
  </conditionalFormatting>
  <conditionalFormatting sqref="D1:D106">
    <cfRule type="cellIs" dxfId="5" priority="9" operator="between">
      <formula>54000</formula>
      <formula>94000</formula>
    </cfRule>
    <cfRule type="cellIs" dxfId="4" priority="10" operator="lessThan">
      <formula>54000</formula>
    </cfRule>
    <cfRule type="cellIs" dxfId="3" priority="11" operator="greaterThan">
      <formula>75000</formula>
    </cfRule>
  </conditionalFormatting>
  <conditionalFormatting sqref="J83:L100">
    <cfRule type="top10" dxfId="2" priority="12" rank="10"/>
  </conditionalFormatting>
  <conditionalFormatting sqref="P101:P105">
    <cfRule type="duplicateValues" dxfId="1" priority="1"/>
    <cfRule type="cellIs" dxfId="0" priority="2" operator="equal">
      <formula>"A"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omkar omkar</dc:creator>
  <cp:keywords/>
  <dc:description/>
  <cp:lastModifiedBy>omkar omkar</cp:lastModifiedBy>
  <cp:revision/>
  <dcterms:created xsi:type="dcterms:W3CDTF">2026-07-14T02:42:44Z</dcterms:created>
  <dcterms:modified xsi:type="dcterms:W3CDTF">2026-07-24T09:31:15Z</dcterms:modified>
  <cp:category/>
  <cp:contentStatus/>
</cp:coreProperties>
</file>
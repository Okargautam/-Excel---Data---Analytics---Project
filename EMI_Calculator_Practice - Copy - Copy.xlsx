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B7895E6F-1DD4-4124-A141-A6B48194172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MI Calculator" sheetId="1" r:id="rId1"/>
    <sheet name="EMI Schedule" sheetId="2" r:id="rId2"/>
    <sheet name="Practi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2" i="3"/>
  <c r="E3" i="3"/>
  <c r="E4" i="3"/>
  <c r="E2" i="3"/>
  <c r="D3" i="3"/>
  <c r="D4" i="3"/>
  <c r="D2" i="3"/>
  <c r="C7" i="1"/>
  <c r="B2" i="2"/>
  <c r="C5" i="1"/>
  <c r="E55" i="2" s="1"/>
  <c r="E20" i="2" l="1"/>
  <c r="E52" i="2"/>
  <c r="D4" i="2"/>
  <c r="E15" i="2"/>
  <c r="D28" i="2"/>
  <c r="E47" i="2"/>
  <c r="E4" i="2"/>
  <c r="E9" i="2"/>
  <c r="E28" i="2"/>
  <c r="D41" i="2"/>
  <c r="E23" i="2"/>
  <c r="D36" i="2"/>
  <c r="E58" i="2"/>
  <c r="D55" i="2"/>
  <c r="E50" i="2"/>
  <c r="D47" i="2"/>
  <c r="E42" i="2"/>
  <c r="D39" i="2"/>
  <c r="E34" i="2"/>
  <c r="D31" i="2"/>
  <c r="E26" i="2"/>
  <c r="D23" i="2"/>
  <c r="E18" i="2"/>
  <c r="D15" i="2"/>
  <c r="E10" i="2"/>
  <c r="D7" i="2"/>
  <c r="E2" i="2"/>
  <c r="F2" i="2" s="1"/>
  <c r="B3" i="2" s="1"/>
  <c r="F3" i="2" s="1"/>
  <c r="B4" i="2" s="1"/>
  <c r="F4" i="2" s="1"/>
  <c r="B5" i="2" s="1"/>
  <c r="F5" i="2" s="1"/>
  <c r="B6" i="2" s="1"/>
  <c r="F6" i="2" s="1"/>
  <c r="B7" i="2" s="1"/>
  <c r="F7" i="2" s="1"/>
  <c r="B8" i="2" s="1"/>
  <c r="F8" i="2" s="1"/>
  <c r="B9" i="2" s="1"/>
  <c r="F9" i="2" s="1"/>
  <c r="B10" i="2" s="1"/>
  <c r="F10" i="2" s="1"/>
  <c r="B11" i="2" s="1"/>
  <c r="F11" i="2" s="1"/>
  <c r="B12" i="2" s="1"/>
  <c r="F12" i="2" s="1"/>
  <c r="B13" i="2" s="1"/>
  <c r="F13" i="2" s="1"/>
  <c r="B14" i="2" s="1"/>
  <c r="F14" i="2" s="1"/>
  <c r="B15" i="2" s="1"/>
  <c r="F15" i="2" s="1"/>
  <c r="B16" i="2" s="1"/>
  <c r="F16" i="2" s="1"/>
  <c r="B17" i="2" s="1"/>
  <c r="F17" i="2" s="1"/>
  <c r="B18" i="2" s="1"/>
  <c r="F18" i="2" s="1"/>
  <c r="B19" i="2" s="1"/>
  <c r="F19" i="2" s="1"/>
  <c r="B20" i="2" s="1"/>
  <c r="F20" i="2" s="1"/>
  <c r="B21" i="2" s="1"/>
  <c r="F21" i="2" s="1"/>
  <c r="B22" i="2" s="1"/>
  <c r="F22" i="2" s="1"/>
  <c r="B23" i="2" s="1"/>
  <c r="F23" i="2" s="1"/>
  <c r="B24" i="2" s="1"/>
  <c r="F24" i="2" s="1"/>
  <c r="B25" i="2" s="1"/>
  <c r="F25" i="2" s="1"/>
  <c r="B26" i="2" s="1"/>
  <c r="F26" i="2" s="1"/>
  <c r="B27" i="2" s="1"/>
  <c r="F27" i="2" s="1"/>
  <c r="B28" i="2" s="1"/>
  <c r="F28" i="2" s="1"/>
  <c r="B29" i="2" s="1"/>
  <c r="F29" i="2" s="1"/>
  <c r="B30" i="2" s="1"/>
  <c r="F30" i="2" s="1"/>
  <c r="B31" i="2" s="1"/>
  <c r="F31" i="2" s="1"/>
  <c r="B32" i="2" s="1"/>
  <c r="F32" i="2" s="1"/>
  <c r="B33" i="2" s="1"/>
  <c r="F33" i="2" s="1"/>
  <c r="B34" i="2" s="1"/>
  <c r="F34" i="2" s="1"/>
  <c r="B35" i="2" s="1"/>
  <c r="F35" i="2" s="1"/>
  <c r="B36" i="2" s="1"/>
  <c r="F36" i="2" s="1"/>
  <c r="B37" i="2" s="1"/>
  <c r="F37" i="2" s="1"/>
  <c r="B38" i="2" s="1"/>
  <c r="F38" i="2" s="1"/>
  <c r="B39" i="2" s="1"/>
  <c r="F39" i="2" s="1"/>
  <c r="B40" i="2" s="1"/>
  <c r="F40" i="2" s="1"/>
  <c r="B41" i="2" s="1"/>
  <c r="F41" i="2" s="1"/>
  <c r="B42" i="2" s="1"/>
  <c r="F42" i="2" s="1"/>
  <c r="B43" i="2" s="1"/>
  <c r="F43" i="2" s="1"/>
  <c r="B44" i="2" s="1"/>
  <c r="F44" i="2" s="1"/>
  <c r="B45" i="2" s="1"/>
  <c r="F45" i="2" s="1"/>
  <c r="B46" i="2" s="1"/>
  <c r="F46" i="2" s="1"/>
  <c r="B47" i="2" s="1"/>
  <c r="F47" i="2" s="1"/>
  <c r="B48" i="2" s="1"/>
  <c r="F48" i="2" s="1"/>
  <c r="B49" i="2" s="1"/>
  <c r="F49" i="2" s="1"/>
  <c r="B50" i="2" s="1"/>
  <c r="F50" i="2" s="1"/>
  <c r="B51" i="2" s="1"/>
  <c r="F51" i="2" s="1"/>
  <c r="B52" i="2" s="1"/>
  <c r="F52" i="2" s="1"/>
  <c r="B53" i="2" s="1"/>
  <c r="F53" i="2" s="1"/>
  <c r="B54" i="2" s="1"/>
  <c r="F54" i="2" s="1"/>
  <c r="B55" i="2" s="1"/>
  <c r="F55" i="2" s="1"/>
  <c r="B56" i="2" s="1"/>
  <c r="F56" i="2" s="1"/>
  <c r="B57" i="2" s="1"/>
  <c r="F57" i="2" s="1"/>
  <c r="B58" i="2" s="1"/>
  <c r="F58" i="2" s="1"/>
  <c r="B59" i="2" s="1"/>
  <c r="F59" i="2" s="1"/>
  <c r="B60" i="2" s="1"/>
  <c r="F60" i="2" s="1"/>
  <c r="B61" i="2" s="1"/>
  <c r="F61" i="2" s="1"/>
  <c r="D53" i="2"/>
  <c r="E48" i="2"/>
  <c r="D45" i="2"/>
  <c r="E32" i="2"/>
  <c r="E8" i="2"/>
  <c r="D5" i="2"/>
  <c r="E59" i="2"/>
  <c r="E51" i="2"/>
  <c r="D48" i="2"/>
  <c r="E19" i="2"/>
  <c r="D16" i="2"/>
  <c r="E11" i="2"/>
  <c r="E3" i="2"/>
  <c r="D46" i="2"/>
  <c r="E33" i="2"/>
  <c r="D30" i="2"/>
  <c r="D22" i="2"/>
  <c r="E17" i="2"/>
  <c r="D14" i="2"/>
  <c r="E61" i="2"/>
  <c r="D58" i="2"/>
  <c r="E53" i="2"/>
  <c r="D50" i="2"/>
  <c r="E45" i="2"/>
  <c r="D42" i="2"/>
  <c r="E37" i="2"/>
  <c r="D34" i="2"/>
  <c r="E29" i="2"/>
  <c r="D26" i="2"/>
  <c r="E21" i="2"/>
  <c r="D18" i="2"/>
  <c r="E13" i="2"/>
  <c r="D10" i="2"/>
  <c r="E5" i="2"/>
  <c r="D2" i="2"/>
  <c r="E56" i="2"/>
  <c r="E40" i="2"/>
  <c r="D37" i="2"/>
  <c r="D29" i="2"/>
  <c r="E24" i="2"/>
  <c r="D21" i="2"/>
  <c r="E16" i="2"/>
  <c r="D13" i="2"/>
  <c r="D56" i="2"/>
  <c r="E43" i="2"/>
  <c r="D40" i="2"/>
  <c r="E35" i="2"/>
  <c r="D32" i="2"/>
  <c r="E27" i="2"/>
  <c r="D24" i="2"/>
  <c r="D8" i="2"/>
  <c r="D61" i="2"/>
  <c r="D59" i="2"/>
  <c r="E54" i="2"/>
  <c r="D51" i="2"/>
  <c r="E46" i="2"/>
  <c r="D43" i="2"/>
  <c r="E38" i="2"/>
  <c r="D35" i="2"/>
  <c r="E30" i="2"/>
  <c r="D27" i="2"/>
  <c r="E22" i="2"/>
  <c r="D19" i="2"/>
  <c r="E14" i="2"/>
  <c r="D11" i="2"/>
  <c r="E6" i="2"/>
  <c r="D3" i="2"/>
  <c r="E57" i="2"/>
  <c r="D54" i="2"/>
  <c r="E49" i="2"/>
  <c r="E41" i="2"/>
  <c r="D38" i="2"/>
  <c r="E25" i="2"/>
  <c r="D6" i="2"/>
  <c r="E60" i="2"/>
  <c r="D60" i="2"/>
  <c r="D12" i="2"/>
  <c r="E31" i="2"/>
  <c r="D44" i="2"/>
  <c r="E12" i="2"/>
  <c r="D25" i="2"/>
  <c r="E44" i="2"/>
  <c r="D57" i="2"/>
  <c r="D33" i="2"/>
  <c r="D9" i="2"/>
  <c r="D17" i="2"/>
  <c r="E36" i="2"/>
  <c r="D49" i="2"/>
  <c r="E7" i="2"/>
  <c r="D20" i="2"/>
  <c r="E39" i="2"/>
  <c r="D52" i="2"/>
  <c r="C60" i="2" l="1"/>
  <c r="C52" i="2"/>
  <c r="C44" i="2"/>
  <c r="C36" i="2"/>
  <c r="C28" i="2"/>
  <c r="C20" i="2"/>
  <c r="C12" i="2"/>
  <c r="C4" i="2"/>
  <c r="C58" i="2"/>
  <c r="C42" i="2"/>
  <c r="C26" i="2"/>
  <c r="C18" i="2"/>
  <c r="C45" i="2"/>
  <c r="C37" i="2"/>
  <c r="C29" i="2"/>
  <c r="C43" i="2"/>
  <c r="C27" i="2"/>
  <c r="C55" i="2"/>
  <c r="C47" i="2"/>
  <c r="C39" i="2"/>
  <c r="C31" i="2"/>
  <c r="C23" i="2"/>
  <c r="C15" i="2"/>
  <c r="C7" i="2"/>
  <c r="C50" i="2"/>
  <c r="C34" i="2"/>
  <c r="C10" i="2"/>
  <c r="C2" i="2"/>
  <c r="C53" i="2"/>
  <c r="C21" i="2"/>
  <c r="C13" i="2"/>
  <c r="C5" i="2"/>
  <c r="C61" i="2"/>
  <c r="C56" i="2"/>
  <c r="C48" i="2"/>
  <c r="C40" i="2"/>
  <c r="C32" i="2"/>
  <c r="C24" i="2"/>
  <c r="C16" i="2"/>
  <c r="C8" i="2"/>
  <c r="C59" i="2"/>
  <c r="C51" i="2"/>
  <c r="C35" i="2"/>
  <c r="C19" i="2"/>
  <c r="C11" i="2"/>
  <c r="C33" i="2"/>
  <c r="C57" i="2"/>
  <c r="C25" i="2"/>
  <c r="C6" i="2"/>
  <c r="C46" i="2"/>
  <c r="C14" i="2"/>
  <c r="C3" i="2"/>
  <c r="C38" i="2"/>
  <c r="C30" i="2"/>
  <c r="C49" i="2"/>
  <c r="C17" i="2"/>
  <c r="C54" i="2"/>
  <c r="C22" i="2"/>
  <c r="C41" i="2"/>
  <c r="C9" i="2"/>
</calcChain>
</file>

<file path=xl/sharedStrings.xml><?xml version="1.0" encoding="utf-8"?>
<sst xmlns="http://schemas.openxmlformats.org/spreadsheetml/2006/main" count="17" uniqueCount="15">
  <si>
    <t>Loan Amount</t>
  </si>
  <si>
    <t>Annual Interest %</t>
  </si>
  <si>
    <t>Years</t>
  </si>
  <si>
    <t>Months</t>
  </si>
  <si>
    <t>Monthly EMI</t>
  </si>
  <si>
    <t>Month</t>
  </si>
  <si>
    <t>Opening</t>
  </si>
  <si>
    <t>EMI</t>
  </si>
  <si>
    <t>Interest</t>
  </si>
  <si>
    <t>Principal</t>
  </si>
  <si>
    <t>Closing</t>
  </si>
  <si>
    <t>Loan</t>
  </si>
  <si>
    <t>Rate</t>
  </si>
  <si>
    <t>totalpay</t>
  </si>
  <si>
    <t>Iterest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</si>
</sst>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#,##0.00;[Red]&quot;₹&quot;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workbookViewId="0">
      <selection activeCell="C7" sqref="C7"/>
    </sheetView>
  </sheetViews>
  <sheetFormatPr defaultRowHeight="14.4" x14ac:dyDescent="0.3"/>
  <cols>
    <col min="3" max="3" width="10" bestFit="1" customWidth="1"/>
  </cols>
  <sheetData>
    <row r="2" spans="2:3" x14ac:dyDescent="0.3">
      <c r="B2" s="1" t="s">
        <v>0</v>
      </c>
      <c r="C2">
        <v>500000</v>
      </c>
    </row>
    <row r="3" spans="2:3" x14ac:dyDescent="0.3">
      <c r="B3" s="1" t="s">
        <v>1</v>
      </c>
      <c r="C3">
        <v>9</v>
      </c>
    </row>
    <row r="4" spans="2:3" x14ac:dyDescent="0.3">
      <c r="B4" s="1" t="s">
        <v>2</v>
      </c>
      <c r="C4">
        <v>5</v>
      </c>
    </row>
    <row r="5" spans="2:3" x14ac:dyDescent="0.3">
      <c r="B5" s="1" t="s">
        <v>3</v>
      </c>
      <c r="C5">
        <f>C4*12</f>
        <v>60</v>
      </c>
    </row>
    <row r="7" spans="2:3" x14ac:dyDescent="0.3">
      <c r="B7" s="1" t="s">
        <v>4</v>
      </c>
      <c r="C7" s="3">
        <f>-PMT(C3/12/100,C5,C2)</f>
        <v>10379.177613177004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workbookViewId="0"/>
  </sheetViews>
  <sheetFormatPr defaultRowHeight="14.4" x14ac:dyDescent="0.3"/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>
        <v>1</v>
      </c>
      <c r="B2">
        <f>'EMI Calculator'!C2</f>
        <v>500000</v>
      </c>
      <c r="C2">
        <f>'EMI Calculator'!C7</f>
        <v>10379.177613177004</v>
      </c>
      <c r="D2">
        <f>-IPMT('EMI Calculator'!C3/12/100,A2,'EMI Calculator'!C5,'EMI Calculator'!C2)</f>
        <v>3750.0000000000005</v>
      </c>
      <c r="E2">
        <f>-PPMT('EMI Calculator'!C3/12/100,A2,'EMI Calculator'!C5,'EMI Calculator'!C2)</f>
        <v>6629.1776131770039</v>
      </c>
      <c r="F2">
        <f t="shared" ref="F2:F33" si="0">B2-E2</f>
        <v>493370.82238682301</v>
      </c>
    </row>
    <row r="3" spans="1:6" x14ac:dyDescent="0.3">
      <c r="A3">
        <v>2</v>
      </c>
      <c r="B3">
        <f t="shared" ref="B3:B34" si="1">F2</f>
        <v>493370.82238682301</v>
      </c>
      <c r="C3">
        <f>'EMI Calculator'!C7</f>
        <v>10379.177613177004</v>
      </c>
      <c r="D3">
        <f>-IPMT('EMI Calculator'!C3/12/100,A3,'EMI Calculator'!C5,'EMI Calculator'!C2)</f>
        <v>3700.2811679011725</v>
      </c>
      <c r="E3">
        <f>-PPMT('EMI Calculator'!C3/12/100,A3,'EMI Calculator'!C5,'EMI Calculator'!C2)</f>
        <v>6678.896445275831</v>
      </c>
      <c r="F3">
        <f t="shared" si="0"/>
        <v>486691.9259415472</v>
      </c>
    </row>
    <row r="4" spans="1:6" x14ac:dyDescent="0.3">
      <c r="A4">
        <v>3</v>
      </c>
      <c r="B4">
        <f t="shared" si="1"/>
        <v>486691.9259415472</v>
      </c>
      <c r="C4">
        <f>'EMI Calculator'!C7</f>
        <v>10379.177613177004</v>
      </c>
      <c r="D4">
        <f>-IPMT('EMI Calculator'!C3/12/100,A4,'EMI Calculator'!C5,'EMI Calculator'!C2)</f>
        <v>3650.189444561604</v>
      </c>
      <c r="E4">
        <f>-PPMT('EMI Calculator'!C3/12/100,A4,'EMI Calculator'!C5,'EMI Calculator'!C2)</f>
        <v>6728.9881686154013</v>
      </c>
      <c r="F4">
        <f t="shared" si="0"/>
        <v>479962.93777293182</v>
      </c>
    </row>
    <row r="5" spans="1:6" x14ac:dyDescent="0.3">
      <c r="A5">
        <v>4</v>
      </c>
      <c r="B5">
        <f t="shared" si="1"/>
        <v>479962.93777293182</v>
      </c>
      <c r="C5">
        <f>'EMI Calculator'!C7</f>
        <v>10379.177613177004</v>
      </c>
      <c r="D5">
        <f>-IPMT('EMI Calculator'!C3/12/100,A5,'EMI Calculator'!C5,'EMI Calculator'!C2)</f>
        <v>3599.7220332969882</v>
      </c>
      <c r="E5">
        <f>-PPMT('EMI Calculator'!C3/12/100,A5,'EMI Calculator'!C5,'EMI Calculator'!C2)</f>
        <v>6779.4555798800166</v>
      </c>
      <c r="F5">
        <f t="shared" si="0"/>
        <v>473183.48219305178</v>
      </c>
    </row>
    <row r="6" spans="1:6" x14ac:dyDescent="0.3">
      <c r="A6">
        <v>5</v>
      </c>
      <c r="B6">
        <f t="shared" si="1"/>
        <v>473183.48219305178</v>
      </c>
      <c r="C6">
        <f>'EMI Calculator'!C7</f>
        <v>10379.177613177004</v>
      </c>
      <c r="D6">
        <f>-IPMT('EMI Calculator'!C3/12/100,A6,'EMI Calculator'!C5,'EMI Calculator'!C2)</f>
        <v>3548.8761164478883</v>
      </c>
      <c r="E6">
        <f>-PPMT('EMI Calculator'!C3/12/100,A6,'EMI Calculator'!C5,'EMI Calculator'!C2)</f>
        <v>6830.3014967291156</v>
      </c>
      <c r="F6">
        <f t="shared" si="0"/>
        <v>466353.18069632264</v>
      </c>
    </row>
    <row r="7" spans="1:6" x14ac:dyDescent="0.3">
      <c r="A7">
        <v>6</v>
      </c>
      <c r="B7">
        <f t="shared" si="1"/>
        <v>466353.18069632264</v>
      </c>
      <c r="C7">
        <f>'EMI Calculator'!C7</f>
        <v>10379.177613177004</v>
      </c>
      <c r="D7">
        <f>-IPMT('EMI Calculator'!C3/12/100,A7,'EMI Calculator'!C5,'EMI Calculator'!C2)</f>
        <v>3497.64885522242</v>
      </c>
      <c r="E7">
        <f>-PPMT('EMI Calculator'!C3/12/100,A7,'EMI Calculator'!C5,'EMI Calculator'!C2)</f>
        <v>6881.5287579545857</v>
      </c>
      <c r="F7">
        <f t="shared" si="0"/>
        <v>459471.65193836804</v>
      </c>
    </row>
    <row r="8" spans="1:6" x14ac:dyDescent="0.3">
      <c r="A8">
        <v>7</v>
      </c>
      <c r="B8">
        <f t="shared" si="1"/>
        <v>459471.65193836804</v>
      </c>
      <c r="C8">
        <f>'EMI Calculator'!C7</f>
        <v>10379.177613177004</v>
      </c>
      <c r="D8">
        <f>-IPMT('EMI Calculator'!C3/12/100,A8,'EMI Calculator'!C5,'EMI Calculator'!C2)</f>
        <v>3446.0373895377602</v>
      </c>
      <c r="E8">
        <f>-PPMT('EMI Calculator'!C3/12/100,A8,'EMI Calculator'!C5,'EMI Calculator'!C2)</f>
        <v>6933.1402236392441</v>
      </c>
      <c r="F8">
        <f t="shared" si="0"/>
        <v>452538.51171472878</v>
      </c>
    </row>
    <row r="9" spans="1:6" x14ac:dyDescent="0.3">
      <c r="A9">
        <v>8</v>
      </c>
      <c r="B9">
        <f t="shared" si="1"/>
        <v>452538.51171472878</v>
      </c>
      <c r="C9">
        <f>'EMI Calculator'!C7</f>
        <v>10379.177613177004</v>
      </c>
      <c r="D9">
        <f>-IPMT('EMI Calculator'!C3/12/100,A9,'EMI Calculator'!C5,'EMI Calculator'!C2)</f>
        <v>3394.0388378604662</v>
      </c>
      <c r="E9">
        <f>-PPMT('EMI Calculator'!C3/12/100,A9,'EMI Calculator'!C5,'EMI Calculator'!C2)</f>
        <v>6985.1387753165382</v>
      </c>
      <c r="F9">
        <f t="shared" si="0"/>
        <v>445553.37293941225</v>
      </c>
    </row>
    <row r="10" spans="1:6" x14ac:dyDescent="0.3">
      <c r="A10">
        <v>9</v>
      </c>
      <c r="B10">
        <f t="shared" si="1"/>
        <v>445553.37293941225</v>
      </c>
      <c r="C10">
        <f>'EMI Calculator'!C7</f>
        <v>10379.177613177004</v>
      </c>
      <c r="D10">
        <f>-IPMT('EMI Calculator'!C3/12/100,A10,'EMI Calculator'!C5,'EMI Calculator'!C2)</f>
        <v>3341.6502970455922</v>
      </c>
      <c r="E10">
        <f>-PPMT('EMI Calculator'!C3/12/100,A10,'EMI Calculator'!C5,'EMI Calculator'!C2)</f>
        <v>7037.5273161314126</v>
      </c>
      <c r="F10">
        <f t="shared" si="0"/>
        <v>438515.84562328085</v>
      </c>
    </row>
    <row r="11" spans="1:6" x14ac:dyDescent="0.3">
      <c r="A11">
        <v>10</v>
      </c>
      <c r="B11">
        <f t="shared" si="1"/>
        <v>438515.84562328085</v>
      </c>
      <c r="C11">
        <f>'EMI Calculator'!C7</f>
        <v>10379.177613177004</v>
      </c>
      <c r="D11">
        <f>-IPMT('EMI Calculator'!C3/12/100,A11,'EMI Calculator'!C5,'EMI Calculator'!C2)</f>
        <v>3288.8688421746069</v>
      </c>
      <c r="E11">
        <f>-PPMT('EMI Calculator'!C3/12/100,A11,'EMI Calculator'!C5,'EMI Calculator'!C2)</f>
        <v>7090.3087710023983</v>
      </c>
      <c r="F11">
        <f t="shared" si="0"/>
        <v>431425.53685227846</v>
      </c>
    </row>
    <row r="12" spans="1:6" x14ac:dyDescent="0.3">
      <c r="A12">
        <v>11</v>
      </c>
      <c r="B12">
        <f t="shared" si="1"/>
        <v>431425.53685227846</v>
      </c>
      <c r="C12">
        <f>'EMI Calculator'!C7</f>
        <v>10379.177613177004</v>
      </c>
      <c r="D12">
        <f>-IPMT('EMI Calculator'!C3/12/100,A12,'EMI Calculator'!C5,'EMI Calculator'!C2)</f>
        <v>3235.6915263920882</v>
      </c>
      <c r="E12">
        <f>-PPMT('EMI Calculator'!C3/12/100,A12,'EMI Calculator'!C5,'EMI Calculator'!C2)</f>
        <v>7143.4860867849166</v>
      </c>
      <c r="F12">
        <f t="shared" si="0"/>
        <v>424282.05076549354</v>
      </c>
    </row>
    <row r="13" spans="1:6" x14ac:dyDescent="0.3">
      <c r="A13">
        <v>12</v>
      </c>
      <c r="B13">
        <f t="shared" si="1"/>
        <v>424282.05076549354</v>
      </c>
      <c r="C13">
        <f>'EMI Calculator'!C7</f>
        <v>10379.177613177004</v>
      </c>
      <c r="D13">
        <f>-IPMT('EMI Calculator'!C3/12/100,A13,'EMI Calculator'!C5,'EMI Calculator'!C2)</f>
        <v>3182.115380741202</v>
      </c>
      <c r="E13">
        <f>-PPMT('EMI Calculator'!C3/12/100,A13,'EMI Calculator'!C5,'EMI Calculator'!C2)</f>
        <v>7197.0622324358028</v>
      </c>
      <c r="F13">
        <f t="shared" si="0"/>
        <v>417084.98853305774</v>
      </c>
    </row>
    <row r="14" spans="1:6" x14ac:dyDescent="0.3">
      <c r="A14">
        <v>13</v>
      </c>
      <c r="B14">
        <f t="shared" si="1"/>
        <v>417084.98853305774</v>
      </c>
      <c r="C14">
        <f>'EMI Calculator'!C7</f>
        <v>10379.177613177004</v>
      </c>
      <c r="D14">
        <f>-IPMT('EMI Calculator'!C3/12/100,A14,'EMI Calculator'!C5,'EMI Calculator'!C2)</f>
        <v>3128.1374139979325</v>
      </c>
      <c r="E14">
        <f>-PPMT('EMI Calculator'!C3/12/100,A14,'EMI Calculator'!C5,'EMI Calculator'!C2)</f>
        <v>7251.0401991790714</v>
      </c>
      <c r="F14">
        <f t="shared" si="0"/>
        <v>409833.94833387865</v>
      </c>
    </row>
    <row r="15" spans="1:6" x14ac:dyDescent="0.3">
      <c r="A15">
        <v>14</v>
      </c>
      <c r="B15">
        <f t="shared" si="1"/>
        <v>409833.94833387865</v>
      </c>
      <c r="C15">
        <f>'EMI Calculator'!C7</f>
        <v>10379.177613177004</v>
      </c>
      <c r="D15">
        <f>-IPMT('EMI Calculator'!C3/12/100,A15,'EMI Calculator'!C5,'EMI Calculator'!C2)</f>
        <v>3073.7546125040908</v>
      </c>
      <c r="E15">
        <f>-PPMT('EMI Calculator'!C3/12/100,A15,'EMI Calculator'!C5,'EMI Calculator'!C2)</f>
        <v>7305.4230006729149</v>
      </c>
      <c r="F15">
        <f t="shared" si="0"/>
        <v>402528.52533320576</v>
      </c>
    </row>
    <row r="16" spans="1:6" x14ac:dyDescent="0.3">
      <c r="A16">
        <v>15</v>
      </c>
      <c r="B16">
        <f t="shared" si="1"/>
        <v>402528.52533320576</v>
      </c>
      <c r="C16">
        <f>'EMI Calculator'!C7</f>
        <v>10379.177613177004</v>
      </c>
      <c r="D16">
        <f>-IPMT('EMI Calculator'!C3/12/100,A16,'EMI Calculator'!C5,'EMI Calculator'!C2)</f>
        <v>3018.9639399990433</v>
      </c>
      <c r="E16">
        <f>-PPMT('EMI Calculator'!C3/12/100,A16,'EMI Calculator'!C5,'EMI Calculator'!C2)</f>
        <v>7360.2136731779619</v>
      </c>
      <c r="F16">
        <f t="shared" si="0"/>
        <v>395168.31166002777</v>
      </c>
    </row>
    <row r="17" spans="1:6" x14ac:dyDescent="0.3">
      <c r="A17">
        <v>16</v>
      </c>
      <c r="B17">
        <f t="shared" si="1"/>
        <v>395168.31166002777</v>
      </c>
      <c r="C17">
        <f>'EMI Calculator'!C7</f>
        <v>10379.177613177004</v>
      </c>
      <c r="D17">
        <f>-IPMT('EMI Calculator'!C3/12/100,A17,'EMI Calculator'!C5,'EMI Calculator'!C2)</f>
        <v>2963.7623374502082</v>
      </c>
      <c r="E17">
        <f>-PPMT('EMI Calculator'!C3/12/100,A17,'EMI Calculator'!C5,'EMI Calculator'!C2)</f>
        <v>7415.4152757267957</v>
      </c>
      <c r="F17">
        <f t="shared" si="0"/>
        <v>387752.89638430096</v>
      </c>
    </row>
    <row r="18" spans="1:6" x14ac:dyDescent="0.3">
      <c r="A18">
        <v>17</v>
      </c>
      <c r="B18">
        <f t="shared" si="1"/>
        <v>387752.89638430096</v>
      </c>
      <c r="C18">
        <f>'EMI Calculator'!C7</f>
        <v>10379.177613177004</v>
      </c>
      <c r="D18">
        <f>-IPMT('EMI Calculator'!C3/12/100,A18,'EMI Calculator'!C5,'EMI Calculator'!C2)</f>
        <v>2908.1467228822576</v>
      </c>
      <c r="E18">
        <f>-PPMT('EMI Calculator'!C3/12/100,A18,'EMI Calculator'!C5,'EMI Calculator'!C2)</f>
        <v>7471.0308902947472</v>
      </c>
      <c r="F18">
        <f t="shared" si="0"/>
        <v>380281.8654940062</v>
      </c>
    </row>
    <row r="19" spans="1:6" x14ac:dyDescent="0.3">
      <c r="A19">
        <v>18</v>
      </c>
      <c r="B19">
        <f t="shared" si="1"/>
        <v>380281.8654940062</v>
      </c>
      <c r="C19">
        <f>'EMI Calculator'!C7</f>
        <v>10379.177613177004</v>
      </c>
      <c r="D19">
        <f>-IPMT('EMI Calculator'!C3/12/100,A19,'EMI Calculator'!C5,'EMI Calculator'!C2)</f>
        <v>2852.1139912050471</v>
      </c>
      <c r="E19">
        <f>-PPMT('EMI Calculator'!C3/12/100,A19,'EMI Calculator'!C5,'EMI Calculator'!C2)</f>
        <v>7527.0636219719572</v>
      </c>
      <c r="F19">
        <f t="shared" si="0"/>
        <v>372754.80187203427</v>
      </c>
    </row>
    <row r="20" spans="1:6" x14ac:dyDescent="0.3">
      <c r="A20">
        <v>19</v>
      </c>
      <c r="B20">
        <f t="shared" si="1"/>
        <v>372754.80187203427</v>
      </c>
      <c r="C20">
        <f>'EMI Calculator'!C7</f>
        <v>10379.177613177004</v>
      </c>
      <c r="D20">
        <f>-IPMT('EMI Calculator'!C3/12/100,A20,'EMI Calculator'!C5,'EMI Calculator'!C2)</f>
        <v>2795.6610140402568</v>
      </c>
      <c r="E20">
        <f>-PPMT('EMI Calculator'!C3/12/100,A20,'EMI Calculator'!C5,'EMI Calculator'!C2)</f>
        <v>7583.5165991367476</v>
      </c>
      <c r="F20">
        <f t="shared" si="0"/>
        <v>365171.28527289751</v>
      </c>
    </row>
    <row r="21" spans="1:6" x14ac:dyDescent="0.3">
      <c r="A21">
        <v>20</v>
      </c>
      <c r="B21">
        <f t="shared" si="1"/>
        <v>365171.28527289751</v>
      </c>
      <c r="C21">
        <f>'EMI Calculator'!C7</f>
        <v>10379.177613177004</v>
      </c>
      <c r="D21">
        <f>-IPMT('EMI Calculator'!C3/12/100,A21,'EMI Calculator'!C5,'EMI Calculator'!C2)</f>
        <v>2738.7846395467323</v>
      </c>
      <c r="E21">
        <f>-PPMT('EMI Calculator'!C3/12/100,A21,'EMI Calculator'!C5,'EMI Calculator'!C2)</f>
        <v>7640.3929736302725</v>
      </c>
      <c r="F21">
        <f t="shared" si="0"/>
        <v>357530.89229926723</v>
      </c>
    </row>
    <row r="22" spans="1:6" x14ac:dyDescent="0.3">
      <c r="A22">
        <v>21</v>
      </c>
      <c r="B22">
        <f t="shared" si="1"/>
        <v>357530.89229926723</v>
      </c>
      <c r="C22">
        <f>'EMI Calculator'!C7</f>
        <v>10379.177613177004</v>
      </c>
      <c r="D22">
        <f>-IPMT('EMI Calculator'!C3/12/100,A22,'EMI Calculator'!C5,'EMI Calculator'!C2)</f>
        <v>2681.4816922445043</v>
      </c>
      <c r="E22">
        <f>-PPMT('EMI Calculator'!C3/12/100,A22,'EMI Calculator'!C5,'EMI Calculator'!C2)</f>
        <v>7697.6959209324996</v>
      </c>
      <c r="F22">
        <f t="shared" si="0"/>
        <v>349833.19637833472</v>
      </c>
    </row>
    <row r="23" spans="1:6" x14ac:dyDescent="0.3">
      <c r="A23">
        <v>22</v>
      </c>
      <c r="B23">
        <f t="shared" si="1"/>
        <v>349833.19637833472</v>
      </c>
      <c r="C23">
        <f>'EMI Calculator'!C7</f>
        <v>10379.177613177004</v>
      </c>
      <c r="D23">
        <f>-IPMT('EMI Calculator'!C3/12/100,A23,'EMI Calculator'!C5,'EMI Calculator'!C2)</f>
        <v>2623.7489728375112</v>
      </c>
      <c r="E23">
        <f>-PPMT('EMI Calculator'!C3/12/100,A23,'EMI Calculator'!C5,'EMI Calculator'!C2)</f>
        <v>7755.4286403394935</v>
      </c>
      <c r="F23">
        <f t="shared" si="0"/>
        <v>342077.76773799525</v>
      </c>
    </row>
    <row r="24" spans="1:6" x14ac:dyDescent="0.3">
      <c r="A24">
        <v>23</v>
      </c>
      <c r="B24">
        <f t="shared" si="1"/>
        <v>342077.76773799525</v>
      </c>
      <c r="C24">
        <f>'EMI Calculator'!C7</f>
        <v>10379.177613177004</v>
      </c>
      <c r="D24">
        <f>-IPMT('EMI Calculator'!C3/12/100,A24,'EMI Calculator'!C5,'EMI Calculator'!C2)</f>
        <v>2565.5832580349647</v>
      </c>
      <c r="E24">
        <f>-PPMT('EMI Calculator'!C3/12/100,A24,'EMI Calculator'!C5,'EMI Calculator'!C2)</f>
        <v>7813.5943551420405</v>
      </c>
      <c r="F24">
        <f t="shared" si="0"/>
        <v>334264.17338285322</v>
      </c>
    </row>
    <row r="25" spans="1:6" x14ac:dyDescent="0.3">
      <c r="A25">
        <v>24</v>
      </c>
      <c r="B25">
        <f t="shared" si="1"/>
        <v>334264.17338285322</v>
      </c>
      <c r="C25">
        <f>'EMI Calculator'!C7</f>
        <v>10379.177613177004</v>
      </c>
      <c r="D25">
        <f>-IPMT('EMI Calculator'!C3/12/100,A25,'EMI Calculator'!C5,'EMI Calculator'!C2)</f>
        <v>2506.9813003713994</v>
      </c>
      <c r="E25">
        <f>-PPMT('EMI Calculator'!C3/12/100,A25,'EMI Calculator'!C5,'EMI Calculator'!C2)</f>
        <v>7872.1963128056059</v>
      </c>
      <c r="F25">
        <f t="shared" si="0"/>
        <v>326391.97707004764</v>
      </c>
    </row>
    <row r="26" spans="1:6" x14ac:dyDescent="0.3">
      <c r="A26">
        <v>25</v>
      </c>
      <c r="B26">
        <f t="shared" si="1"/>
        <v>326391.97707004764</v>
      </c>
      <c r="C26">
        <f>'EMI Calculator'!C7</f>
        <v>10379.177613177004</v>
      </c>
      <c r="D26">
        <f>-IPMT('EMI Calculator'!C3/12/100,A26,'EMI Calculator'!C5,'EMI Calculator'!C2)</f>
        <v>2447.9398280253572</v>
      </c>
      <c r="E26">
        <f>-PPMT('EMI Calculator'!C3/12/100,A26,'EMI Calculator'!C5,'EMI Calculator'!C2)</f>
        <v>7931.2377851516485</v>
      </c>
      <c r="F26">
        <f t="shared" si="0"/>
        <v>318460.739284896</v>
      </c>
    </row>
    <row r="27" spans="1:6" x14ac:dyDescent="0.3">
      <c r="A27">
        <v>26</v>
      </c>
      <c r="B27">
        <f t="shared" si="1"/>
        <v>318460.739284896</v>
      </c>
      <c r="C27">
        <f>'EMI Calculator'!C7</f>
        <v>10379.177613177004</v>
      </c>
      <c r="D27">
        <f>-IPMT('EMI Calculator'!C3/12/100,A27,'EMI Calculator'!C5,'EMI Calculator'!C2)</f>
        <v>2388.4555446367199</v>
      </c>
      <c r="E27">
        <f>-PPMT('EMI Calculator'!C3/12/100,A27,'EMI Calculator'!C5,'EMI Calculator'!C2)</f>
        <v>7990.7220685402845</v>
      </c>
      <c r="F27">
        <f t="shared" si="0"/>
        <v>310470.01721635571</v>
      </c>
    </row>
    <row r="28" spans="1:6" x14ac:dyDescent="0.3">
      <c r="A28">
        <v>27</v>
      </c>
      <c r="B28">
        <f t="shared" si="1"/>
        <v>310470.01721635571</v>
      </c>
      <c r="C28">
        <f>'EMI Calculator'!C7</f>
        <v>10379.177613177004</v>
      </c>
      <c r="D28">
        <f>-IPMT('EMI Calculator'!C3/12/100,A28,'EMI Calculator'!C5,'EMI Calculator'!C2)</f>
        <v>2328.5251291226673</v>
      </c>
      <c r="E28">
        <f>-PPMT('EMI Calculator'!C3/12/100,A28,'EMI Calculator'!C5,'EMI Calculator'!C2)</f>
        <v>8050.6524840543361</v>
      </c>
      <c r="F28">
        <f t="shared" si="0"/>
        <v>302419.36473230139</v>
      </c>
    </row>
    <row r="29" spans="1:6" x14ac:dyDescent="0.3">
      <c r="A29">
        <v>28</v>
      </c>
      <c r="B29">
        <f t="shared" si="1"/>
        <v>302419.36473230139</v>
      </c>
      <c r="C29">
        <f>'EMI Calculator'!C7</f>
        <v>10379.177613177004</v>
      </c>
      <c r="D29">
        <f>-IPMT('EMI Calculator'!C3/12/100,A29,'EMI Calculator'!C5,'EMI Calculator'!C2)</f>
        <v>2268.1452354922603</v>
      </c>
      <c r="E29">
        <f>-PPMT('EMI Calculator'!C3/12/100,A29,'EMI Calculator'!C5,'EMI Calculator'!C2)</f>
        <v>8111.0323776847445</v>
      </c>
      <c r="F29">
        <f t="shared" si="0"/>
        <v>294308.33235461666</v>
      </c>
    </row>
    <row r="30" spans="1:6" x14ac:dyDescent="0.3">
      <c r="A30">
        <v>29</v>
      </c>
      <c r="B30">
        <f t="shared" si="1"/>
        <v>294308.33235461666</v>
      </c>
      <c r="C30">
        <f>'EMI Calculator'!C7</f>
        <v>10379.177613177004</v>
      </c>
      <c r="D30">
        <f>-IPMT('EMI Calculator'!C3/12/100,A30,'EMI Calculator'!C5,'EMI Calculator'!C2)</f>
        <v>2207.3124926596247</v>
      </c>
      <c r="E30">
        <f>-PPMT('EMI Calculator'!C3/12/100,A30,'EMI Calculator'!C5,'EMI Calculator'!C2)</f>
        <v>8171.8651205173801</v>
      </c>
      <c r="F30">
        <f t="shared" si="0"/>
        <v>286136.46723409928</v>
      </c>
    </row>
    <row r="31" spans="1:6" x14ac:dyDescent="0.3">
      <c r="A31">
        <v>30</v>
      </c>
      <c r="B31">
        <f t="shared" si="1"/>
        <v>286136.46723409928</v>
      </c>
      <c r="C31">
        <f>'EMI Calculator'!C7</f>
        <v>10379.177613177004</v>
      </c>
      <c r="D31">
        <f>-IPMT('EMI Calculator'!C3/12/100,A31,'EMI Calculator'!C5,'EMI Calculator'!C2)</f>
        <v>2146.0235042557442</v>
      </c>
      <c r="E31">
        <f>-PPMT('EMI Calculator'!C3/12/100,A31,'EMI Calculator'!C5,'EMI Calculator'!C2)</f>
        <v>8233.1541089212606</v>
      </c>
      <c r="F31">
        <f t="shared" si="0"/>
        <v>277903.31312517804</v>
      </c>
    </row>
    <row r="32" spans="1:6" x14ac:dyDescent="0.3">
      <c r="A32">
        <v>31</v>
      </c>
      <c r="B32">
        <f t="shared" si="1"/>
        <v>277903.31312517804</v>
      </c>
      <c r="C32">
        <f>'EMI Calculator'!C7</f>
        <v>10379.177613177004</v>
      </c>
      <c r="D32">
        <f>-IPMT('EMI Calculator'!C3/12/100,A32,'EMI Calculator'!C5,'EMI Calculator'!C2)</f>
        <v>2084.2748484388349</v>
      </c>
      <c r="E32">
        <f>-PPMT('EMI Calculator'!C3/12/100,A32,'EMI Calculator'!C5,'EMI Calculator'!C2)</f>
        <v>8294.9027647381699</v>
      </c>
      <c r="F32">
        <f t="shared" si="0"/>
        <v>269608.41036043986</v>
      </c>
    </row>
    <row r="33" spans="1:6" x14ac:dyDescent="0.3">
      <c r="A33">
        <v>32</v>
      </c>
      <c r="B33">
        <f t="shared" si="1"/>
        <v>269608.41036043986</v>
      </c>
      <c r="C33">
        <f>'EMI Calculator'!C7</f>
        <v>10379.177613177004</v>
      </c>
      <c r="D33">
        <f>-IPMT('EMI Calculator'!C3/12/100,A33,'EMI Calculator'!C5,'EMI Calculator'!C2)</f>
        <v>2022.0630777032984</v>
      </c>
      <c r="E33">
        <f>-PPMT('EMI Calculator'!C3/12/100,A33,'EMI Calculator'!C5,'EMI Calculator'!C2)</f>
        <v>8357.1145354737073</v>
      </c>
      <c r="F33">
        <f t="shared" si="0"/>
        <v>261251.29582496616</v>
      </c>
    </row>
    <row r="34" spans="1:6" x14ac:dyDescent="0.3">
      <c r="A34">
        <v>33</v>
      </c>
      <c r="B34">
        <f t="shared" si="1"/>
        <v>261251.29582496616</v>
      </c>
      <c r="C34">
        <f>'EMI Calculator'!C7</f>
        <v>10379.177613177004</v>
      </c>
      <c r="D34">
        <f>-IPMT('EMI Calculator'!C3/12/100,A34,'EMI Calculator'!C5,'EMI Calculator'!C2)</f>
        <v>1959.3847186872456</v>
      </c>
      <c r="E34">
        <f>-PPMT('EMI Calculator'!C3/12/100,A34,'EMI Calculator'!C5,'EMI Calculator'!C2)</f>
        <v>8419.7928944897594</v>
      </c>
      <c r="F34">
        <f t="shared" ref="F34:F65" si="2">B34-E34</f>
        <v>252831.50293047639</v>
      </c>
    </row>
    <row r="35" spans="1:6" x14ac:dyDescent="0.3">
      <c r="A35">
        <v>34</v>
      </c>
      <c r="B35">
        <f t="shared" ref="B35:B61" si="3">F34</f>
        <v>252831.50293047639</v>
      </c>
      <c r="C35">
        <f>'EMI Calculator'!C7</f>
        <v>10379.177613177004</v>
      </c>
      <c r="D35">
        <f>-IPMT('EMI Calculator'!C3/12/100,A35,'EMI Calculator'!C5,'EMI Calculator'!C2)</f>
        <v>1896.2362719785722</v>
      </c>
      <c r="E35">
        <f>-PPMT('EMI Calculator'!C3/12/100,A35,'EMI Calculator'!C5,'EMI Calculator'!C2)</f>
        <v>8482.9413411984315</v>
      </c>
      <c r="F35">
        <f t="shared" si="2"/>
        <v>244348.56158927796</v>
      </c>
    </row>
    <row r="36" spans="1:6" x14ac:dyDescent="0.3">
      <c r="A36">
        <v>35</v>
      </c>
      <c r="B36">
        <f t="shared" si="3"/>
        <v>244348.56158927796</v>
      </c>
      <c r="C36">
        <f>'EMI Calculator'!C7</f>
        <v>10379.177613177004</v>
      </c>
      <c r="D36">
        <f>-IPMT('EMI Calculator'!C3/12/100,A36,'EMI Calculator'!C5,'EMI Calculator'!C2)</f>
        <v>1832.6142119195845</v>
      </c>
      <c r="E36">
        <f>-PPMT('EMI Calculator'!C3/12/100,A36,'EMI Calculator'!C5,'EMI Calculator'!C2)</f>
        <v>8546.563401257421</v>
      </c>
      <c r="F36">
        <f t="shared" si="2"/>
        <v>235801.99818802055</v>
      </c>
    </row>
    <row r="37" spans="1:6" x14ac:dyDescent="0.3">
      <c r="A37">
        <v>36</v>
      </c>
      <c r="B37">
        <f t="shared" si="3"/>
        <v>235801.99818802055</v>
      </c>
      <c r="C37">
        <f>'EMI Calculator'!C7</f>
        <v>10379.177613177004</v>
      </c>
      <c r="D37">
        <f>-IPMT('EMI Calculator'!C3/12/100,A37,'EMI Calculator'!C5,'EMI Calculator'!C2)</f>
        <v>1768.5149864101534</v>
      </c>
      <c r="E37">
        <f>-PPMT('EMI Calculator'!C3/12/100,A37,'EMI Calculator'!C5,'EMI Calculator'!C2)</f>
        <v>8610.6626267668507</v>
      </c>
      <c r="F37">
        <f t="shared" si="2"/>
        <v>227191.33556125368</v>
      </c>
    </row>
    <row r="38" spans="1:6" x14ac:dyDescent="0.3">
      <c r="A38">
        <v>37</v>
      </c>
      <c r="B38">
        <f t="shared" si="3"/>
        <v>227191.33556125368</v>
      </c>
      <c r="C38">
        <f>'EMI Calculator'!C7</f>
        <v>10379.177613177004</v>
      </c>
      <c r="D38">
        <f>-IPMT('EMI Calculator'!C3/12/100,A38,'EMI Calculator'!C5,'EMI Calculator'!C2)</f>
        <v>1703.9350167094021</v>
      </c>
      <c r="E38">
        <f>-PPMT('EMI Calculator'!C3/12/100,A38,'EMI Calculator'!C5,'EMI Calculator'!C2)</f>
        <v>8675.2425964676022</v>
      </c>
      <c r="F38">
        <f t="shared" si="2"/>
        <v>218516.09296478608</v>
      </c>
    </row>
    <row r="39" spans="1:6" x14ac:dyDescent="0.3">
      <c r="A39">
        <v>38</v>
      </c>
      <c r="B39">
        <f t="shared" si="3"/>
        <v>218516.09296478608</v>
      </c>
      <c r="C39">
        <f>'EMI Calculator'!C7</f>
        <v>10379.177613177004</v>
      </c>
      <c r="D39">
        <f>-IPMT('EMI Calculator'!C3/12/100,A39,'EMI Calculator'!C5,'EMI Calculator'!C2)</f>
        <v>1638.870697235895</v>
      </c>
      <c r="E39">
        <f>-PPMT('EMI Calculator'!C3/12/100,A39,'EMI Calculator'!C5,'EMI Calculator'!C2)</f>
        <v>8740.3069159411098</v>
      </c>
      <c r="F39">
        <f t="shared" si="2"/>
        <v>209775.78604884498</v>
      </c>
    </row>
    <row r="40" spans="1:6" x14ac:dyDescent="0.3">
      <c r="A40">
        <v>39</v>
      </c>
      <c r="B40">
        <f t="shared" si="3"/>
        <v>209775.78604884498</v>
      </c>
      <c r="C40">
        <f>'EMI Calculator'!C7</f>
        <v>10379.177613177004</v>
      </c>
      <c r="D40">
        <f>-IPMT('EMI Calculator'!C3/12/100,A40,'EMI Calculator'!C5,'EMI Calculator'!C2)</f>
        <v>1573.3183953663367</v>
      </c>
      <c r="E40">
        <f>-PPMT('EMI Calculator'!C3/12/100,A40,'EMI Calculator'!C5,'EMI Calculator'!C2)</f>
        <v>8805.8592178106683</v>
      </c>
      <c r="F40">
        <f t="shared" si="2"/>
        <v>200969.9268310343</v>
      </c>
    </row>
    <row r="41" spans="1:6" x14ac:dyDescent="0.3">
      <c r="A41">
        <v>40</v>
      </c>
      <c r="B41">
        <f t="shared" si="3"/>
        <v>200969.9268310343</v>
      </c>
      <c r="C41">
        <f>'EMI Calculator'!C7</f>
        <v>10379.177613177004</v>
      </c>
      <c r="D41">
        <f>-IPMT('EMI Calculator'!C3/12/100,A41,'EMI Calculator'!C5,'EMI Calculator'!C2)</f>
        <v>1507.2744512327567</v>
      </c>
      <c r="E41">
        <f>-PPMT('EMI Calculator'!C3/12/100,A41,'EMI Calculator'!C5,'EMI Calculator'!C2)</f>
        <v>8871.9031619442485</v>
      </c>
      <c r="F41">
        <f t="shared" si="2"/>
        <v>192098.02366909006</v>
      </c>
    </row>
    <row r="42" spans="1:6" x14ac:dyDescent="0.3">
      <c r="A42">
        <v>41</v>
      </c>
      <c r="B42">
        <f t="shared" si="3"/>
        <v>192098.02366909006</v>
      </c>
      <c r="C42">
        <f>'EMI Calculator'!C7</f>
        <v>10379.177613177004</v>
      </c>
      <c r="D42">
        <f>-IPMT('EMI Calculator'!C3/12/100,A42,'EMI Calculator'!C5,'EMI Calculator'!C2)</f>
        <v>1440.7351775181749</v>
      </c>
      <c r="E42">
        <f>-PPMT('EMI Calculator'!C3/12/100,A42,'EMI Calculator'!C5,'EMI Calculator'!C2)</f>
        <v>8938.4424356588279</v>
      </c>
      <c r="F42">
        <f t="shared" si="2"/>
        <v>183159.58123343124</v>
      </c>
    </row>
    <row r="43" spans="1:6" x14ac:dyDescent="0.3">
      <c r="A43">
        <v>42</v>
      </c>
      <c r="B43">
        <f t="shared" si="3"/>
        <v>183159.58123343124</v>
      </c>
      <c r="C43">
        <f>'EMI Calculator'!C7</f>
        <v>10379.177613177004</v>
      </c>
      <c r="D43">
        <f>-IPMT('EMI Calculator'!C3/12/100,A43,'EMI Calculator'!C5,'EMI Calculator'!C2)</f>
        <v>1373.6968592507337</v>
      </c>
      <c r="E43">
        <f>-PPMT('EMI Calculator'!C3/12/100,A43,'EMI Calculator'!C5,'EMI Calculator'!C2)</f>
        <v>9005.4807539262711</v>
      </c>
      <c r="F43">
        <f t="shared" si="2"/>
        <v>174154.10047950497</v>
      </c>
    </row>
    <row r="44" spans="1:6" x14ac:dyDescent="0.3">
      <c r="A44">
        <v>43</v>
      </c>
      <c r="B44">
        <f t="shared" si="3"/>
        <v>174154.10047950497</v>
      </c>
      <c r="C44">
        <f>'EMI Calculator'!C7</f>
        <v>10379.177613177004</v>
      </c>
      <c r="D44">
        <f>-IPMT('EMI Calculator'!C3/12/100,A44,'EMI Calculator'!C5,'EMI Calculator'!C2)</f>
        <v>1306.1557535962866</v>
      </c>
      <c r="E44">
        <f>-PPMT('EMI Calculator'!C3/12/100,A44,'EMI Calculator'!C5,'EMI Calculator'!C2)</f>
        <v>9073.0218595807182</v>
      </c>
      <c r="F44">
        <f t="shared" si="2"/>
        <v>165081.07861992426</v>
      </c>
    </row>
    <row r="45" spans="1:6" x14ac:dyDescent="0.3">
      <c r="A45">
        <v>44</v>
      </c>
      <c r="B45">
        <f t="shared" si="3"/>
        <v>165081.07861992426</v>
      </c>
      <c r="C45">
        <f>'EMI Calculator'!C7</f>
        <v>10379.177613177004</v>
      </c>
      <c r="D45">
        <f>-IPMT('EMI Calculator'!C3/12/100,A45,'EMI Calculator'!C5,'EMI Calculator'!C2)</f>
        <v>1238.1080896494311</v>
      </c>
      <c r="E45">
        <f>-PPMT('EMI Calculator'!C3/12/100,A45,'EMI Calculator'!C5,'EMI Calculator'!C2)</f>
        <v>9141.0695235275743</v>
      </c>
      <c r="F45">
        <f t="shared" si="2"/>
        <v>155940.00909639668</v>
      </c>
    </row>
    <row r="46" spans="1:6" x14ac:dyDescent="0.3">
      <c r="A46">
        <v>45</v>
      </c>
      <c r="B46">
        <f t="shared" si="3"/>
        <v>155940.00909639668</v>
      </c>
      <c r="C46">
        <f>'EMI Calculator'!C7</f>
        <v>10379.177613177004</v>
      </c>
      <c r="D46">
        <f>-IPMT('EMI Calculator'!C3/12/100,A46,'EMI Calculator'!C5,'EMI Calculator'!C2)</f>
        <v>1169.5500682229745</v>
      </c>
      <c r="E46">
        <f>-PPMT('EMI Calculator'!C3/12/100,A46,'EMI Calculator'!C5,'EMI Calculator'!C2)</f>
        <v>9209.6275449540299</v>
      </c>
      <c r="F46">
        <f t="shared" si="2"/>
        <v>146730.38155144264</v>
      </c>
    </row>
    <row r="47" spans="1:6" x14ac:dyDescent="0.3">
      <c r="A47">
        <v>46</v>
      </c>
      <c r="B47">
        <f t="shared" si="3"/>
        <v>146730.38155144264</v>
      </c>
      <c r="C47">
        <f>'EMI Calculator'!C7</f>
        <v>10379.177613177004</v>
      </c>
      <c r="D47">
        <f>-IPMT('EMI Calculator'!C3/12/100,A47,'EMI Calculator'!C5,'EMI Calculator'!C2)</f>
        <v>1100.4778616358194</v>
      </c>
      <c r="E47">
        <f>-PPMT('EMI Calculator'!C3/12/100,A47,'EMI Calculator'!C5,'EMI Calculator'!C2)</f>
        <v>9278.6997515411858</v>
      </c>
      <c r="F47">
        <f t="shared" si="2"/>
        <v>137451.68179990145</v>
      </c>
    </row>
    <row r="48" spans="1:6" x14ac:dyDescent="0.3">
      <c r="A48">
        <v>47</v>
      </c>
      <c r="B48">
        <f t="shared" si="3"/>
        <v>137451.68179990145</v>
      </c>
      <c r="C48">
        <f>'EMI Calculator'!C7</f>
        <v>10379.177613177004</v>
      </c>
      <c r="D48">
        <f>-IPMT('EMI Calculator'!C3/12/100,A48,'EMI Calculator'!C5,'EMI Calculator'!C2)</f>
        <v>1030.8876134992604</v>
      </c>
      <c r="E48">
        <f>-PPMT('EMI Calculator'!C3/12/100,A48,'EMI Calculator'!C5,'EMI Calculator'!C2)</f>
        <v>9348.2899996777433</v>
      </c>
      <c r="F48">
        <f t="shared" si="2"/>
        <v>128103.3918002237</v>
      </c>
    </row>
    <row r="49" spans="1:6" x14ac:dyDescent="0.3">
      <c r="A49">
        <v>48</v>
      </c>
      <c r="B49">
        <f t="shared" si="3"/>
        <v>128103.3918002237</v>
      </c>
      <c r="C49">
        <f>'EMI Calculator'!C7</f>
        <v>10379.177613177004</v>
      </c>
      <c r="D49">
        <f>-IPMT('EMI Calculator'!C3/12/100,A49,'EMI Calculator'!C5,'EMI Calculator'!C2)</f>
        <v>960.7754385016774</v>
      </c>
      <c r="E49">
        <f>-PPMT('EMI Calculator'!C3/12/100,A49,'EMI Calculator'!C5,'EMI Calculator'!C2)</f>
        <v>9418.4021746753278</v>
      </c>
      <c r="F49">
        <f t="shared" si="2"/>
        <v>118684.98962554838</v>
      </c>
    </row>
    <row r="50" spans="1:6" x14ac:dyDescent="0.3">
      <c r="A50">
        <v>49</v>
      </c>
      <c r="B50">
        <f t="shared" si="3"/>
        <v>118684.98962554838</v>
      </c>
      <c r="C50">
        <f>'EMI Calculator'!C7</f>
        <v>10379.177613177004</v>
      </c>
      <c r="D50">
        <f>-IPMT('EMI Calculator'!C3/12/100,A50,'EMI Calculator'!C5,'EMI Calculator'!C2)</f>
        <v>890.13742219161236</v>
      </c>
      <c r="E50">
        <f>-PPMT('EMI Calculator'!C3/12/100,A50,'EMI Calculator'!C5,'EMI Calculator'!C2)</f>
        <v>9489.0401909853936</v>
      </c>
      <c r="F50">
        <f t="shared" si="2"/>
        <v>109195.94943456298</v>
      </c>
    </row>
    <row r="51" spans="1:6" x14ac:dyDescent="0.3">
      <c r="A51">
        <v>50</v>
      </c>
      <c r="B51">
        <f t="shared" si="3"/>
        <v>109195.94943456298</v>
      </c>
      <c r="C51">
        <f>'EMI Calculator'!C7</f>
        <v>10379.177613177004</v>
      </c>
      <c r="D51">
        <f>-IPMT('EMI Calculator'!C3/12/100,A51,'EMI Calculator'!C5,'EMI Calculator'!C2)</f>
        <v>818.96962075922193</v>
      </c>
      <c r="E51">
        <f>-PPMT('EMI Calculator'!C3/12/100,A51,'EMI Calculator'!C5,'EMI Calculator'!C2)</f>
        <v>9560.2079924177815</v>
      </c>
      <c r="F51">
        <f t="shared" si="2"/>
        <v>99635.741442145198</v>
      </c>
    </row>
    <row r="52" spans="1:6" x14ac:dyDescent="0.3">
      <c r="A52">
        <v>51</v>
      </c>
      <c r="B52">
        <f t="shared" si="3"/>
        <v>99635.741442145198</v>
      </c>
      <c r="C52">
        <f>'EMI Calculator'!C7</f>
        <v>10379.177613177004</v>
      </c>
      <c r="D52">
        <f>-IPMT('EMI Calculator'!C3/12/100,A52,'EMI Calculator'!C5,'EMI Calculator'!C2)</f>
        <v>747.26806081608845</v>
      </c>
      <c r="E52">
        <f>-PPMT('EMI Calculator'!C3/12/100,A52,'EMI Calculator'!C5,'EMI Calculator'!C2)</f>
        <v>9631.9095523609158</v>
      </c>
      <c r="F52">
        <f t="shared" si="2"/>
        <v>90003.831889784284</v>
      </c>
    </row>
    <row r="53" spans="1:6" x14ac:dyDescent="0.3">
      <c r="A53">
        <v>52</v>
      </c>
      <c r="B53">
        <f t="shared" si="3"/>
        <v>90003.831889784284</v>
      </c>
      <c r="C53">
        <f>'EMI Calculator'!C7</f>
        <v>10379.177613177004</v>
      </c>
      <c r="D53">
        <f>-IPMT('EMI Calculator'!C3/12/100,A53,'EMI Calculator'!C5,'EMI Calculator'!C2)</f>
        <v>675.02873917338161</v>
      </c>
      <c r="E53">
        <f>-PPMT('EMI Calculator'!C3/12/100,A53,'EMI Calculator'!C5,'EMI Calculator'!C2)</f>
        <v>9704.1488740036239</v>
      </c>
      <c r="F53">
        <f t="shared" si="2"/>
        <v>80299.683015780654</v>
      </c>
    </row>
    <row r="54" spans="1:6" x14ac:dyDescent="0.3">
      <c r="A54">
        <v>53</v>
      </c>
      <c r="B54">
        <f t="shared" si="3"/>
        <v>80299.683015780654</v>
      </c>
      <c r="C54">
        <f>'EMI Calculator'!C7</f>
        <v>10379.177613177004</v>
      </c>
      <c r="D54">
        <f>-IPMT('EMI Calculator'!C3/12/100,A54,'EMI Calculator'!C5,'EMI Calculator'!C2)</f>
        <v>602.2476226183544</v>
      </c>
      <c r="E54">
        <f>-PPMT('EMI Calculator'!C3/12/100,A54,'EMI Calculator'!C5,'EMI Calculator'!C2)</f>
        <v>9776.9299905586504</v>
      </c>
      <c r="F54">
        <f t="shared" si="2"/>
        <v>70522.753025222002</v>
      </c>
    </row>
    <row r="55" spans="1:6" x14ac:dyDescent="0.3">
      <c r="A55">
        <v>54</v>
      </c>
      <c r="B55">
        <f t="shared" si="3"/>
        <v>70522.753025222002</v>
      </c>
      <c r="C55">
        <f>'EMI Calculator'!C7</f>
        <v>10379.177613177004</v>
      </c>
      <c r="D55">
        <f>-IPMT('EMI Calculator'!C3/12/100,A55,'EMI Calculator'!C5,'EMI Calculator'!C2)</f>
        <v>528.92064768916453</v>
      </c>
      <c r="E55">
        <f>-PPMT('EMI Calculator'!C3/12/100,A55,'EMI Calculator'!C5,'EMI Calculator'!C2)</f>
        <v>9850.2569654878389</v>
      </c>
      <c r="F55">
        <f t="shared" si="2"/>
        <v>60672.496059734163</v>
      </c>
    </row>
    <row r="56" spans="1:6" x14ac:dyDescent="0.3">
      <c r="A56">
        <v>55</v>
      </c>
      <c r="B56">
        <f t="shared" si="3"/>
        <v>60672.496059734163</v>
      </c>
      <c r="C56">
        <f>'EMI Calculator'!C7</f>
        <v>10379.177613177004</v>
      </c>
      <c r="D56">
        <f>-IPMT('EMI Calculator'!C3/12/100,A56,'EMI Calculator'!C5,'EMI Calculator'!C2)</f>
        <v>455.04372044800579</v>
      </c>
      <c r="E56">
        <f>-PPMT('EMI Calculator'!C3/12/100,A56,'EMI Calculator'!C5,'EMI Calculator'!C2)</f>
        <v>9924.133892728998</v>
      </c>
      <c r="F56">
        <f t="shared" si="2"/>
        <v>50748.362167005165</v>
      </c>
    </row>
    <row r="57" spans="1:6" x14ac:dyDescent="0.3">
      <c r="A57">
        <v>56</v>
      </c>
      <c r="B57">
        <f t="shared" si="3"/>
        <v>50748.362167005165</v>
      </c>
      <c r="C57">
        <f>'EMI Calculator'!C7</f>
        <v>10379.177613177004</v>
      </c>
      <c r="D57">
        <f>-IPMT('EMI Calculator'!C3/12/100,A57,'EMI Calculator'!C5,'EMI Calculator'!C2)</f>
        <v>380.61271625253829</v>
      </c>
      <c r="E57">
        <f>-PPMT('EMI Calculator'!C3/12/100,A57,'EMI Calculator'!C5,'EMI Calculator'!C2)</f>
        <v>9998.5648969244667</v>
      </c>
      <c r="F57">
        <f t="shared" si="2"/>
        <v>40749.7972700807</v>
      </c>
    </row>
    <row r="58" spans="1:6" x14ac:dyDescent="0.3">
      <c r="A58">
        <v>57</v>
      </c>
      <c r="B58">
        <f t="shared" si="3"/>
        <v>40749.7972700807</v>
      </c>
      <c r="C58">
        <f>'EMI Calculator'!C7</f>
        <v>10379.177613177004</v>
      </c>
      <c r="D58">
        <f>-IPMT('EMI Calculator'!C3/12/100,A58,'EMI Calculator'!C5,'EMI Calculator'!C2)</f>
        <v>305.62347952560481</v>
      </c>
      <c r="E58">
        <f>-PPMT('EMI Calculator'!C3/12/100,A58,'EMI Calculator'!C5,'EMI Calculator'!C2)</f>
        <v>10073.5541336514</v>
      </c>
      <c r="F58">
        <f t="shared" si="2"/>
        <v>30676.243136429301</v>
      </c>
    </row>
    <row r="59" spans="1:6" x14ac:dyDescent="0.3">
      <c r="A59">
        <v>58</v>
      </c>
      <c r="B59">
        <f t="shared" si="3"/>
        <v>30676.243136429301</v>
      </c>
      <c r="C59">
        <f>'EMI Calculator'!C7</f>
        <v>10379.177613177004</v>
      </c>
      <c r="D59">
        <f>-IPMT('EMI Calculator'!C3/12/100,A59,'EMI Calculator'!C5,'EMI Calculator'!C2)</f>
        <v>230.07182352321925</v>
      </c>
      <c r="E59">
        <f>-PPMT('EMI Calculator'!C3/12/100,A59,'EMI Calculator'!C5,'EMI Calculator'!C2)</f>
        <v>10149.105789653786</v>
      </c>
      <c r="F59">
        <f t="shared" si="2"/>
        <v>20527.137346775515</v>
      </c>
    </row>
    <row r="60" spans="1:6" x14ac:dyDescent="0.3">
      <c r="A60">
        <v>59</v>
      </c>
      <c r="B60">
        <f t="shared" si="3"/>
        <v>20527.137346775515</v>
      </c>
      <c r="C60">
        <f>'EMI Calculator'!C7</f>
        <v>10379.177613177004</v>
      </c>
      <c r="D60">
        <f>-IPMT('EMI Calculator'!C3/12/100,A60,'EMI Calculator'!C5,'EMI Calculator'!C2)</f>
        <v>153.9535301008159</v>
      </c>
      <c r="E60">
        <f>-PPMT('EMI Calculator'!C3/12/100,A60,'EMI Calculator'!C5,'EMI Calculator'!C2)</f>
        <v>10225.224083076188</v>
      </c>
      <c r="F60">
        <f t="shared" si="2"/>
        <v>10301.913263699327</v>
      </c>
    </row>
    <row r="61" spans="1:6" x14ac:dyDescent="0.3">
      <c r="A61">
        <v>60</v>
      </c>
      <c r="B61">
        <f t="shared" si="3"/>
        <v>10301.913263699327</v>
      </c>
      <c r="C61">
        <f>'EMI Calculator'!C7</f>
        <v>10379.177613177004</v>
      </c>
      <c r="D61">
        <f>-IPMT('EMI Calculator'!C3/12/100,A61,'EMI Calculator'!C5,'EMI Calculator'!C2)</f>
        <v>77.26434947774446</v>
      </c>
      <c r="E61">
        <f>-PPMT('EMI Calculator'!C3/12/100,A61,'EMI Calculator'!C5,'EMI Calculator'!C2)</f>
        <v>10301.91326369926</v>
      </c>
      <c r="F61">
        <f t="shared" si="2"/>
        <v>6.730260793119669E-11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tabSelected="1" workbookViewId="0">
      <selection activeCell="I11" sqref="I11"/>
    </sheetView>
  </sheetViews>
  <sheetFormatPr defaultRowHeight="14.4" x14ac:dyDescent="0.3"/>
  <cols>
    <col min="4" max="5" width="11.44140625" bestFit="1" customWidth="1"/>
    <col min="6" max="6" width="12.109375" bestFit="1" customWidth="1"/>
  </cols>
  <sheetData>
    <row r="1" spans="1:6" x14ac:dyDescent="0.3">
      <c r="A1" s="2" t="s">
        <v>11</v>
      </c>
      <c r="B1" s="2" t="s">
        <v>12</v>
      </c>
      <c r="C1" s="2" t="s">
        <v>2</v>
      </c>
      <c r="D1" s="2" t="s">
        <v>7</v>
      </c>
      <c r="E1" s="2" t="s">
        <v>13</v>
      </c>
      <c r="F1" s="2" t="s">
        <v>14</v>
      </c>
    </row>
    <row r="2" spans="1:6" x14ac:dyDescent="0.3">
      <c r="A2">
        <v>200000</v>
      </c>
      <c r="B2">
        <v>8.5</v>
      </c>
      <c r="C2">
        <v>3</v>
      </c>
      <c r="D2" s="3">
        <f>PMT(B2/12/100,C2*12,-A2)</f>
        <v>6313.5074847114793</v>
      </c>
      <c r="E2" s="3">
        <f>D2*36</f>
        <v>227286.26944961326</v>
      </c>
      <c r="F2" s="3">
        <f>E2-A2</f>
        <v>27286.269449613261</v>
      </c>
    </row>
    <row r="3" spans="1:6" x14ac:dyDescent="0.3">
      <c r="A3">
        <v>500000</v>
      </c>
      <c r="B3">
        <v>9</v>
      </c>
      <c r="C3">
        <v>5</v>
      </c>
      <c r="D3" s="3">
        <f t="shared" ref="D3:D4" si="0">PMT(B3/12/100,C3*12,-A3)</f>
        <v>10379.177613177004</v>
      </c>
      <c r="E3" s="3">
        <f t="shared" ref="E3:E4" si="1">D3*36</f>
        <v>373650.39407437213</v>
      </c>
      <c r="F3" s="3">
        <f t="shared" ref="F3:F4" si="2">E3-A3</f>
        <v>-126349.60592562787</v>
      </c>
    </row>
    <row r="4" spans="1:6" x14ac:dyDescent="0.3">
      <c r="A4">
        <v>850000</v>
      </c>
      <c r="B4">
        <v>10.5</v>
      </c>
      <c r="C4">
        <v>7</v>
      </c>
      <c r="D4" s="3">
        <f t="shared" si="0"/>
        <v>14331.572176410844</v>
      </c>
      <c r="E4" s="3">
        <f t="shared" si="1"/>
        <v>515936.59835079039</v>
      </c>
      <c r="F4" s="3">
        <f t="shared" si="2"/>
        <v>-334063.40164920961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 Calculator</vt:lpstr>
      <vt:lpstr>EMI Schedule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omkar</cp:lastModifiedBy>
  <dcterms:created xsi:type="dcterms:W3CDTF">2026-08-05T13:30:07Z</dcterms:created>
  <dcterms:modified xsi:type="dcterms:W3CDTF">2026-08-05T13:52:37Z</dcterms:modified>
</cp:coreProperties>
</file>